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ead Me" sheetId="2" state="visible" r:id="rId2"/>
    <sheet name="Summary" sheetId="3" state="visible" r:id="rId3"/>
    <sheet name="Bug Log" sheetId="4" state="visible" r:id="rId4"/>
  </sheets>
  <definedNames>
    <definedName name="_xlnm._FilterDatabase" localSheetId="0" hidden="1">'Test Cases'!$A$1:$N$69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  <font>
      <name val="Arial"/>
    </font>
    <font>
      <name val="Arial"/>
      <b val="1"/>
    </font>
    <font>
      <name val="Arial"/>
      <i val="1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C00000"/>
      </font>
    </dxf>
    <dxf>
      <font>
        <name val="Arial"/>
        <b val="1"/>
        <color rgb="00BF8F00"/>
      </font>
    </dxf>
    <dxf>
      <font>
        <name val="Arial"/>
        <b val="1"/>
        <color rgb="0054823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9" customWidth="1" min="4" max="4"/>
    <col width="18" customWidth="1" min="5" max="5"/>
    <col width="30" customWidth="1" min="6" max="6"/>
    <col width="26" customWidth="1" min="7" max="7"/>
    <col width="46" customWidth="1" min="8" max="8"/>
    <col width="46" customWidth="1" min="9" max="9"/>
    <col width="32" customWidth="1" min="10" max="10"/>
    <col width="11" customWidth="1" min="11" max="11"/>
    <col width="12" customWidth="1" min="12" max="12"/>
    <col width="13" customWidth="1" min="13" max="13"/>
    <col width="18" customWidth="1" min="14" max="14"/>
  </cols>
  <sheetData>
    <row r="1" ht="30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Title</t>
        </is>
      </c>
      <c r="D1" s="1" t="inlineStr">
        <is>
          <t>Priority</t>
        </is>
      </c>
      <c r="E1" s="1" t="inlineStr">
        <is>
          <t>Environment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Tester</t>
        </is>
      </c>
      <c r="M1" s="1" t="inlineStr">
        <is>
          <t>Date Tested</t>
        </is>
      </c>
      <c r="N1" s="1" t="inlineStr">
        <is>
          <t>Notes / Bug ID</t>
        </is>
      </c>
    </row>
    <row r="2">
      <c r="A2" s="2" t="inlineStr">
        <is>
          <t>TC-AUTH-01</t>
        </is>
      </c>
      <c r="B2" s="2" t="inlineStr">
        <is>
          <t>Authentication</t>
        </is>
      </c>
      <c r="C2" s="2" t="inlineStr">
        <is>
          <t>Register a new account with valid details</t>
        </is>
      </c>
      <c r="D2" s="2" t="inlineStr">
        <is>
          <t>High</t>
        </is>
      </c>
      <c r="E2" s="2" t="inlineStr">
        <is>
          <t>Simulator or iPhone</t>
        </is>
      </c>
      <c r="F2" s="2" t="inlineStr">
        <is>
          <t>App freshly installed, not signed in.</t>
        </is>
      </c>
      <c r="G2" s="2" t="inlineStr">
        <is>
          <t>Email: fridgefit.test1@example.com
Password: Test1234</t>
        </is>
      </c>
      <c r="H2" s="2" t="inlineStr">
        <is>
          <t>1. Tap "Don't have an account? Sign up".
2. Enter email, password and the same confirm password.
3. Tap Create Account / Sign Up.</t>
        </is>
      </c>
      <c r="I2" s="2" t="inlineStr">
        <is>
          <t>Account is created and the app goes straight to the Pantry tab (empty pantry).</t>
        </is>
      </c>
      <c r="J2" s="3" t="inlineStr"/>
      <c r="K2" s="3" t="inlineStr">
        <is>
          <t>Not Run</t>
        </is>
      </c>
      <c r="L2" s="3" t="inlineStr"/>
      <c r="M2" s="4" t="inlineStr"/>
      <c r="N2" s="3" t="inlineStr"/>
    </row>
    <row r="3">
      <c r="A3" s="2" t="inlineStr">
        <is>
          <t>TC-AUTH-02</t>
        </is>
      </c>
      <c r="B3" s="2" t="inlineStr">
        <is>
          <t>Authentication</t>
        </is>
      </c>
      <c r="C3" s="2" t="inlineStr">
        <is>
          <t>Register with a password shorter than 6 characters</t>
        </is>
      </c>
      <c r="D3" s="2" t="inlineStr">
        <is>
          <t>Medium</t>
        </is>
      </c>
      <c r="E3" s="2" t="inlineStr">
        <is>
          <t>Simulator or iPhone</t>
        </is>
      </c>
      <c r="F3" s="2" t="inlineStr">
        <is>
          <t>On the Sign Up screen.</t>
        </is>
      </c>
      <c r="G3" s="2" t="inlineStr">
        <is>
          <t>Password: 12345</t>
        </is>
      </c>
      <c r="H3" s="2" t="inlineStr">
        <is>
          <t>1. Enter a valid email.
2. Enter 12345 as password and confirm password.</t>
        </is>
      </c>
      <c r="I3" s="2" t="inlineStr">
        <is>
          <t>Message "Password must be at least 6 characters." is shown and the sign up button stays disabled.</t>
        </is>
      </c>
      <c r="J3" s="3" t="inlineStr"/>
      <c r="K3" s="3" t="inlineStr">
        <is>
          <t>Not Run</t>
        </is>
      </c>
      <c r="L3" s="3" t="inlineStr"/>
      <c r="M3" s="4" t="inlineStr"/>
      <c r="N3" s="3" t="inlineStr"/>
    </row>
    <row r="4">
      <c r="A4" s="2" t="inlineStr">
        <is>
          <t>TC-AUTH-03</t>
        </is>
      </c>
      <c r="B4" s="2" t="inlineStr">
        <is>
          <t>Authentication</t>
        </is>
      </c>
      <c r="C4" s="2" t="inlineStr">
        <is>
          <t>Register with passwords that don't match</t>
        </is>
      </c>
      <c r="D4" s="2" t="inlineStr">
        <is>
          <t>Medium</t>
        </is>
      </c>
      <c r="E4" s="2" t="inlineStr">
        <is>
          <t>Simulator or iPhone</t>
        </is>
      </c>
      <c r="F4" s="2" t="inlineStr">
        <is>
          <t>On the Sign Up screen.</t>
        </is>
      </c>
      <c r="G4" s="2" t="inlineStr">
        <is>
          <t>Password: Test1234
Confirm: Test12345</t>
        </is>
      </c>
      <c r="H4" s="2" t="inlineStr">
        <is>
          <t>1. Enter a valid email.
2. Enter different values in Password and Confirm Password.</t>
        </is>
      </c>
      <c r="I4" s="2" t="inlineStr">
        <is>
          <t>Message "Passwords do not match." is shown and the sign up button stays disabled.</t>
        </is>
      </c>
      <c r="J4" s="3" t="inlineStr"/>
      <c r="K4" s="3" t="inlineStr">
        <is>
          <t>Not Run</t>
        </is>
      </c>
      <c r="L4" s="3" t="inlineStr"/>
      <c r="M4" s="4" t="inlineStr"/>
      <c r="N4" s="3" t="inlineStr"/>
    </row>
    <row r="5">
      <c r="A5" s="2" t="inlineStr">
        <is>
          <t>TC-AUTH-04</t>
        </is>
      </c>
      <c r="B5" s="2" t="inlineStr">
        <is>
          <t>Authentication</t>
        </is>
      </c>
      <c r="C5" s="2" t="inlineStr">
        <is>
          <t>Register with an email that's already used</t>
        </is>
      </c>
      <c r="D5" s="2" t="inlineStr">
        <is>
          <t>Medium</t>
        </is>
      </c>
      <c r="E5" s="2" t="inlineStr">
        <is>
          <t>Simulator or iPhone</t>
        </is>
      </c>
      <c r="F5" s="2" t="inlineStr">
        <is>
          <t>TC-AUTH-01 done (account exists).</t>
        </is>
      </c>
      <c r="G5" s="2" t="inlineStr">
        <is>
          <t>Email: fridgefit.test1@example.com</t>
        </is>
      </c>
      <c r="H5" s="2" t="inlineStr">
        <is>
          <t>1. Open Sign Up.
2. Enter the existing email and a valid password.
3. Submit.</t>
        </is>
      </c>
      <c r="I5" s="2" t="inlineStr">
        <is>
          <t>A red error message from Firebase is shown (email already in use). No second account, user stays on the sign up screen.</t>
        </is>
      </c>
      <c r="J5" s="3" t="inlineStr"/>
      <c r="K5" s="3" t="inlineStr">
        <is>
          <t>Not Run</t>
        </is>
      </c>
      <c r="L5" s="3" t="inlineStr"/>
      <c r="M5" s="4" t="inlineStr"/>
      <c r="N5" s="3" t="inlineStr"/>
    </row>
    <row r="6">
      <c r="A6" s="2" t="inlineStr">
        <is>
          <t>TC-AUTH-05</t>
        </is>
      </c>
      <c r="B6" s="2" t="inlineStr">
        <is>
          <t>Authentication</t>
        </is>
      </c>
      <c r="C6" s="2" t="inlineStr">
        <is>
          <t>Log in with correct email and password</t>
        </is>
      </c>
      <c r="D6" s="2" t="inlineStr">
        <is>
          <t>High</t>
        </is>
      </c>
      <c r="E6" s="2" t="inlineStr">
        <is>
          <t>Simulator or iPhone</t>
        </is>
      </c>
      <c r="F6" s="2" t="inlineStr">
        <is>
          <t>Account from TC-AUTH-01 exists, signed out.</t>
        </is>
      </c>
      <c r="G6" s="2" t="inlineStr">
        <is>
          <t>Email: fridgefit.test1@example.com
Password: Test1234</t>
        </is>
      </c>
      <c r="H6" s="2" t="inlineStr">
        <is>
          <t>1. Enter email and password on the login screen.
2. Tap Log In.</t>
        </is>
      </c>
      <c r="I6" s="2" t="inlineStr">
        <is>
          <t>A loading spinner shows briefly, then the Pantry tab opens.</t>
        </is>
      </c>
      <c r="J6" s="3" t="inlineStr"/>
      <c r="K6" s="3" t="inlineStr">
        <is>
          <t>Not Run</t>
        </is>
      </c>
      <c r="L6" s="3" t="inlineStr"/>
      <c r="M6" s="4" t="inlineStr"/>
      <c r="N6" s="3" t="inlineStr"/>
    </row>
    <row r="7">
      <c r="A7" s="2" t="inlineStr">
        <is>
          <t>TC-AUTH-06</t>
        </is>
      </c>
      <c r="B7" s="2" t="inlineStr">
        <is>
          <t>Authentication</t>
        </is>
      </c>
      <c r="C7" s="2" t="inlineStr">
        <is>
          <t>Log in with a wrong password</t>
        </is>
      </c>
      <c r="D7" s="2" t="inlineStr">
        <is>
          <t>High</t>
        </is>
      </c>
      <c r="E7" s="2" t="inlineStr">
        <is>
          <t>Simulator or iPhone</t>
        </is>
      </c>
      <c r="F7" s="2" t="inlineStr">
        <is>
          <t>Signed out.</t>
        </is>
      </c>
      <c r="G7" s="2" t="inlineStr">
        <is>
          <t>Password: wrongpass</t>
        </is>
      </c>
      <c r="H7" s="2" t="inlineStr">
        <is>
          <t>1. Enter a valid email and a wrong password.
2. Tap Log In.</t>
        </is>
      </c>
      <c r="I7" s="2" t="inlineStr">
        <is>
          <t>Red error message appears under the fields. User stays on the login screen. App doesn't crash.</t>
        </is>
      </c>
      <c r="J7" s="3" t="inlineStr"/>
      <c r="K7" s="3" t="inlineStr">
        <is>
          <t>Not Run</t>
        </is>
      </c>
      <c r="L7" s="3" t="inlineStr"/>
      <c r="M7" s="4" t="inlineStr"/>
      <c r="N7" s="3" t="inlineStr"/>
    </row>
    <row r="8">
      <c r="A8" s="2" t="inlineStr">
        <is>
          <t>TC-AUTH-07</t>
        </is>
      </c>
      <c r="B8" s="2" t="inlineStr">
        <is>
          <t>Authentication</t>
        </is>
      </c>
      <c r="C8" s="2" t="inlineStr">
        <is>
          <t>Log In button disabled with empty fields</t>
        </is>
      </c>
      <c r="D8" s="2" t="inlineStr">
        <is>
          <t>Low</t>
        </is>
      </c>
      <c r="E8" s="2" t="inlineStr">
        <is>
          <t>Simulator or iPhone</t>
        </is>
      </c>
      <c r="F8" s="2" t="inlineStr">
        <is>
          <t>Signed out.</t>
        </is>
      </c>
      <c r="G8" s="2" t="inlineStr">
        <is>
          <t>-</t>
        </is>
      </c>
      <c r="H8" s="2" t="inlineStr">
        <is>
          <t>1. Leave email empty, type a password.
2. Then clear password and type an email.</t>
        </is>
      </c>
      <c r="I8" s="2" t="inlineStr">
        <is>
          <t>Log In button is greyed out / not tappable whenever either field is empty.</t>
        </is>
      </c>
      <c r="J8" s="3" t="inlineStr"/>
      <c r="K8" s="3" t="inlineStr">
        <is>
          <t>Not Run</t>
        </is>
      </c>
      <c r="L8" s="3" t="inlineStr"/>
      <c r="M8" s="4" t="inlineStr"/>
      <c r="N8" s="3" t="inlineStr"/>
    </row>
    <row r="9">
      <c r="A9" s="2" t="inlineStr">
        <is>
          <t>TC-AUTH-08</t>
        </is>
      </c>
      <c r="B9" s="2" t="inlineStr">
        <is>
          <t>Authentication</t>
        </is>
      </c>
      <c r="C9" s="2" t="inlineStr">
        <is>
          <t>Sign in with Google</t>
        </is>
      </c>
      <c r="D9" s="2" t="inlineStr">
        <is>
          <t>High</t>
        </is>
      </c>
      <c r="E9" s="2" t="inlineStr">
        <is>
          <t>Simulator or iPhone</t>
        </is>
      </c>
      <c r="F9" s="2" t="inlineStr">
        <is>
          <t>Signed out. A Google account available.</t>
        </is>
      </c>
      <c r="G9" s="2" t="inlineStr">
        <is>
          <t>Any Google test account</t>
        </is>
      </c>
      <c r="H9" s="2" t="inlineStr">
        <is>
          <t>1. Tap the Google Sign-In button.
2. Pick an account and allow access.</t>
        </is>
      </c>
      <c r="I9" s="2" t="inlineStr">
        <is>
          <t>Google sign-in sheet opens, then returns to FridgeFit and the Pantry tab is shown.</t>
        </is>
      </c>
      <c r="J9" s="3" t="inlineStr"/>
      <c r="K9" s="3" t="inlineStr">
        <is>
          <t>Not Run</t>
        </is>
      </c>
      <c r="L9" s="3" t="inlineStr"/>
      <c r="M9" s="4" t="inlineStr"/>
      <c r="N9" s="3" t="inlineStr"/>
    </row>
    <row r="10">
      <c r="A10" s="2" t="inlineStr">
        <is>
          <t>TC-AUTH-09</t>
        </is>
      </c>
      <c r="B10" s="2" t="inlineStr">
        <is>
          <t>Authentication</t>
        </is>
      </c>
      <c r="C10" s="2" t="inlineStr">
        <is>
          <t>Cancel Google sign-in halfway</t>
        </is>
      </c>
      <c r="D10" s="2" t="inlineStr">
        <is>
          <t>Low</t>
        </is>
      </c>
      <c r="E10" s="2" t="inlineStr">
        <is>
          <t>Simulator or iPhone</t>
        </is>
      </c>
      <c r="F10" s="2" t="inlineStr">
        <is>
          <t>Signed out.</t>
        </is>
      </c>
      <c r="G10" s="2" t="inlineStr">
        <is>
          <t>-</t>
        </is>
      </c>
      <c r="H10" s="2" t="inlineStr">
        <is>
          <t>1. Tap the Google Sign-In button.
2. Close the Google sheet without choosing an account.</t>
        </is>
      </c>
      <c r="I10" s="2" t="inlineStr">
        <is>
          <t>User is back on the login screen. No crash. (An error/cancel message is acceptable.)</t>
        </is>
      </c>
      <c r="J10" s="3" t="inlineStr"/>
      <c r="K10" s="3" t="inlineStr">
        <is>
          <t>Not Run</t>
        </is>
      </c>
      <c r="L10" s="3" t="inlineStr"/>
      <c r="M10" s="4" t="inlineStr"/>
      <c r="N10" s="3" t="inlineStr"/>
    </row>
    <row r="11">
      <c r="A11" s="2" t="inlineStr">
        <is>
          <t>TC-AUTH-10</t>
        </is>
      </c>
      <c r="B11" s="2" t="inlineStr">
        <is>
          <t>Authentication</t>
        </is>
      </c>
      <c r="C11" s="2" t="inlineStr">
        <is>
          <t>Stay signed in after closing the app</t>
        </is>
      </c>
      <c r="D11" s="2" t="inlineStr">
        <is>
          <t>High</t>
        </is>
      </c>
      <c r="E11" s="2" t="inlineStr">
        <is>
          <t>Simulator or iPhone</t>
        </is>
      </c>
      <c r="F11" s="2" t="inlineStr">
        <is>
          <t>Signed in.</t>
        </is>
      </c>
      <c r="G11" s="2" t="inlineStr">
        <is>
          <t>-</t>
        </is>
      </c>
      <c r="H11" s="2" t="inlineStr">
        <is>
          <t>1. Swipe the app away from the app switcher (force quit).
2. Open FridgeFit again.</t>
        </is>
      </c>
      <c r="I11" s="2" t="inlineStr">
        <is>
          <t>App opens directly on the Pantry tab, no login needed.</t>
        </is>
      </c>
      <c r="J11" s="3" t="inlineStr"/>
      <c r="K11" s="3" t="inlineStr">
        <is>
          <t>Not Run</t>
        </is>
      </c>
      <c r="L11" s="3" t="inlineStr"/>
      <c r="M11" s="4" t="inlineStr"/>
      <c r="N11" s="3" t="inlineStr"/>
    </row>
    <row r="12">
      <c r="A12" s="2" t="inlineStr">
        <is>
          <t>TC-AUTH-11</t>
        </is>
      </c>
      <c r="B12" s="2" t="inlineStr">
        <is>
          <t>Authentication</t>
        </is>
      </c>
      <c r="C12" s="2" t="inlineStr">
        <is>
          <t>Sign out</t>
        </is>
      </c>
      <c r="D12" s="2" t="inlineStr">
        <is>
          <t>High</t>
        </is>
      </c>
      <c r="E12" s="2" t="inlineStr">
        <is>
          <t>Simulator or iPhone</t>
        </is>
      </c>
      <c r="F12" s="2" t="inlineStr">
        <is>
          <t>Signed in.</t>
        </is>
      </c>
      <c r="G12" s="2" t="inlineStr">
        <is>
          <t>-</t>
        </is>
      </c>
      <c r="H12" s="2" t="inlineStr">
        <is>
          <t>1. Go to the Profile tab.
2. Tap Sign Out.
3. Force quit and reopen the app.</t>
        </is>
      </c>
      <c r="I12" s="2" t="inlineStr">
        <is>
          <t>Login screen shows after Sign Out, and still shows after reopening the app.</t>
        </is>
      </c>
      <c r="J12" s="3" t="inlineStr"/>
      <c r="K12" s="3" t="inlineStr">
        <is>
          <t>Not Run</t>
        </is>
      </c>
      <c r="L12" s="3" t="inlineStr"/>
      <c r="M12" s="4" t="inlineStr"/>
      <c r="N12" s="3" t="inlineStr"/>
    </row>
    <row r="13">
      <c r="A13" s="2" t="inlineStr">
        <is>
          <t>TC-PRO-01</t>
        </is>
      </c>
      <c r="B13" s="2" t="inlineStr">
        <is>
          <t>Profile</t>
        </is>
      </c>
      <c r="C13" s="2" t="inlineStr">
        <is>
          <t>Profile shows the signed-in email</t>
        </is>
      </c>
      <c r="D13" s="2" t="inlineStr">
        <is>
          <t>Low</t>
        </is>
      </c>
      <c r="E13" s="2" t="inlineStr">
        <is>
          <t>Simulator or iPhone</t>
        </is>
      </c>
      <c r="F13" s="2" t="inlineStr">
        <is>
          <t>Signed in with email account.</t>
        </is>
      </c>
      <c r="G13" s="2" t="inlineStr">
        <is>
          <t>fridgefit.test1@example.com</t>
        </is>
      </c>
      <c r="H13" s="2" t="inlineStr">
        <is>
          <t>1. Open the Profile tab.</t>
        </is>
      </c>
      <c r="I13" s="2" t="inlineStr">
        <is>
          <t>Text "Signed in as fridgefit.test1@example.com" and a red Sign Out button are shown.</t>
        </is>
      </c>
      <c r="J13" s="3" t="inlineStr"/>
      <c r="K13" s="3" t="inlineStr">
        <is>
          <t>Not Run</t>
        </is>
      </c>
      <c r="L13" s="3" t="inlineStr"/>
      <c r="M13" s="4" t="inlineStr"/>
      <c r="N13" s="3" t="inlineStr"/>
    </row>
    <row r="14">
      <c r="A14" s="2" t="inlineStr">
        <is>
          <t>TC-PAN-01</t>
        </is>
      </c>
      <c r="B14" s="2" t="inlineStr">
        <is>
          <t>Pantry</t>
        </is>
      </c>
      <c r="C14" s="2" t="inlineStr">
        <is>
          <t>Empty pantry state</t>
        </is>
      </c>
      <c r="D14" s="2" t="inlineStr">
        <is>
          <t>Medium</t>
        </is>
      </c>
      <c r="E14" s="2" t="inlineStr">
        <is>
          <t>Simulator or iPhone</t>
        </is>
      </c>
      <c r="F14" s="2" t="inlineStr">
        <is>
          <t>Brand new account, nothing added.</t>
        </is>
      </c>
      <c r="G14" s="2" t="inlineStr">
        <is>
          <t>-</t>
        </is>
      </c>
      <c r="H14" s="2" t="inlineStr">
        <is>
          <t>1. Open the Pantry tab.</t>
        </is>
      </c>
      <c r="I14" s="2" t="inlineStr">
        <is>
          <t>"Your Pantry Is Empty" message with Scan Receipt and Add Ingredient buttons.</t>
        </is>
      </c>
      <c r="J14" s="3" t="inlineStr"/>
      <c r="K14" s="3" t="inlineStr">
        <is>
          <t>Not Run</t>
        </is>
      </c>
      <c r="L14" s="3" t="inlineStr"/>
      <c r="M14" s="4" t="inlineStr"/>
      <c r="N14" s="3" t="inlineStr"/>
    </row>
    <row r="15">
      <c r="A15" s="2" t="inlineStr">
        <is>
          <t>TC-PAN-02</t>
        </is>
      </c>
      <c r="B15" s="2" t="inlineStr">
        <is>
          <t>Pantry</t>
        </is>
      </c>
      <c r="C15" s="2" t="inlineStr">
        <is>
          <t>Add an ingredient with valid data</t>
        </is>
      </c>
      <c r="D15" s="2" t="inlineStr">
        <is>
          <t>High</t>
        </is>
      </c>
      <c r="E15" s="2" t="inlineStr">
        <is>
          <t>Simulator or iPhone</t>
        </is>
      </c>
      <c r="F15" s="2" t="inlineStr">
        <is>
          <t>Signed in.</t>
        </is>
      </c>
      <c r="G15" s="2" t="inlineStr">
        <is>
          <t>Name: Eggs
Category: Dairy
Quantity: 6
Unit: pcs</t>
        </is>
      </c>
      <c r="H15" s="2" t="inlineStr">
        <is>
          <t>1. Tap + (Add Ingredient).
2. Fill in name, category, quantity, unit.
3. Tap Add.</t>
        </is>
      </c>
      <c r="I15" s="2" t="inlineStr">
        <is>
          <t>Sheet closes. Row "Eggs" shows category Dairy and "6 pcs".</t>
        </is>
      </c>
      <c r="J15" s="3" t="inlineStr"/>
      <c r="K15" s="3" t="inlineStr">
        <is>
          <t>Not Run</t>
        </is>
      </c>
      <c r="L15" s="3" t="inlineStr"/>
      <c r="M15" s="4" t="inlineStr"/>
      <c r="N15" s="3" t="inlineStr"/>
    </row>
    <row r="16">
      <c r="A16" s="2" t="inlineStr">
        <is>
          <t>TC-PAN-03</t>
        </is>
      </c>
      <c r="B16" s="2" t="inlineStr">
        <is>
          <t>Pantry</t>
        </is>
      </c>
      <c r="C16" s="2" t="inlineStr">
        <is>
          <t>Add with a blank name</t>
        </is>
      </c>
      <c r="D16" s="2" t="inlineStr">
        <is>
          <t>High</t>
        </is>
      </c>
      <c r="E16" s="2" t="inlineStr">
        <is>
          <t>Simulator or iPhone</t>
        </is>
      </c>
      <c r="F16" s="2" t="inlineStr">
        <is>
          <t>Signed in.</t>
        </is>
      </c>
      <c r="G16" s="2" t="inlineStr">
        <is>
          <t>Name: (spaces only)
Quantity: 2</t>
        </is>
      </c>
      <c r="H16" s="2" t="inlineStr">
        <is>
          <t>1. Tap +.
2. Leave name blank (or type spaces), enter 2.
3. Tap Add.</t>
        </is>
      </c>
      <c r="I16" s="2" t="inlineStr">
        <is>
          <t>Error "Please enter an ingredient name so FridgeFit knows what to add." Sheet stays open, nothing added.</t>
        </is>
      </c>
      <c r="J16" s="3" t="inlineStr"/>
      <c r="K16" s="3" t="inlineStr">
        <is>
          <t>Not Run</t>
        </is>
      </c>
      <c r="L16" s="3" t="inlineStr"/>
      <c r="M16" s="4" t="inlineStr"/>
      <c r="N16" s="3" t="inlineStr"/>
    </row>
    <row r="17">
      <c r="A17" s="2" t="inlineStr">
        <is>
          <t>TC-PAN-04</t>
        </is>
      </c>
      <c r="B17" s="2" t="inlineStr">
        <is>
          <t>Pantry</t>
        </is>
      </c>
      <c r="C17" s="2" t="inlineStr">
        <is>
          <t>Add with empty or non-numeric quantity</t>
        </is>
      </c>
      <c r="D17" s="2" t="inlineStr">
        <is>
          <t>Medium</t>
        </is>
      </c>
      <c r="E17" s="2" t="inlineStr">
        <is>
          <t>Simulator or iPhone</t>
        </is>
      </c>
      <c r="F17" s="2" t="inlineStr">
        <is>
          <t>Signed in.</t>
        </is>
      </c>
      <c r="G17" s="2" t="inlineStr">
        <is>
          <t>Name: Rice
Quantity: (empty) then abc</t>
        </is>
      </c>
      <c r="H17" s="2" t="inlineStr">
        <is>
          <t>1. Tap +.
2. Enter name Rice, leave quantity empty, tap Add.
3. Repeat with a pasted value "abc".</t>
        </is>
      </c>
      <c r="I17" s="2" t="inlineStr">
        <is>
          <t>Error "Quantity must be zero or greater." Nothing added.</t>
        </is>
      </c>
      <c r="J17" s="3" t="inlineStr"/>
      <c r="K17" s="3" t="inlineStr">
        <is>
          <t>Not Run</t>
        </is>
      </c>
      <c r="L17" s="3" t="inlineStr"/>
      <c r="M17" s="4" t="inlineStr"/>
      <c r="N17" s="3" t="inlineStr"/>
    </row>
    <row r="18">
      <c r="A18" s="2" t="inlineStr">
        <is>
          <t>TC-PAN-05</t>
        </is>
      </c>
      <c r="B18" s="2" t="inlineStr">
        <is>
          <t>Pantry</t>
        </is>
      </c>
      <c r="C18" s="2" t="inlineStr">
        <is>
          <t>Add with quantity 0</t>
        </is>
      </c>
      <c r="D18" s="2" t="inlineStr">
        <is>
          <t>Low</t>
        </is>
      </c>
      <c r="E18" s="2" t="inlineStr">
        <is>
          <t>Simulator or iPhone</t>
        </is>
      </c>
      <c r="F18" s="2" t="inlineStr">
        <is>
          <t>Signed in.</t>
        </is>
      </c>
      <c r="G18" s="2" t="inlineStr">
        <is>
          <t>Name: Salt
Quantity: 0
Unit: g</t>
        </is>
      </c>
      <c r="H18" s="2" t="inlineStr">
        <is>
          <t>1. Tap +, enter Salt / 0 / g.
2. Tap Add.</t>
        </is>
      </c>
      <c r="I18" s="2" t="inlineStr">
        <is>
          <t>Item is added (0 is allowed by design) and shows "0 g".</t>
        </is>
      </c>
      <c r="J18" s="3" t="inlineStr"/>
      <c r="K18" s="3" t="inlineStr">
        <is>
          <t>Not Run</t>
        </is>
      </c>
      <c r="L18" s="3" t="inlineStr"/>
      <c r="M18" s="4" t="inlineStr"/>
      <c r="N18" s="3" t="inlineStr"/>
    </row>
    <row r="19">
      <c r="A19" s="2" t="inlineStr">
        <is>
          <t>TC-PAN-06</t>
        </is>
      </c>
      <c r="B19" s="2" t="inlineStr">
        <is>
          <t>Pantry</t>
        </is>
      </c>
      <c r="C19" s="2" t="inlineStr">
        <is>
          <t>Add with a decimal quantity</t>
        </is>
      </c>
      <c r="D19" s="2" t="inlineStr">
        <is>
          <t>Low</t>
        </is>
      </c>
      <c r="E19" s="2" t="inlineStr">
        <is>
          <t>Simulator or iPhone</t>
        </is>
      </c>
      <c r="F19" s="2" t="inlineStr">
        <is>
          <t>Signed in.</t>
        </is>
      </c>
      <c r="G19" s="2" t="inlineStr">
        <is>
          <t>Name: Flour
Quantity: 1.5
Unit: kg</t>
        </is>
      </c>
      <c r="H19" s="2" t="inlineStr">
        <is>
          <t>1. Tap +, enter Flour / 1.5 / kg.
2. Tap Add.</t>
        </is>
      </c>
      <c r="I19" s="2" t="inlineStr">
        <is>
          <t>Row shows "1.5 kg".</t>
        </is>
      </c>
      <c r="J19" s="3" t="inlineStr"/>
      <c r="K19" s="3" t="inlineStr">
        <is>
          <t>Not Run</t>
        </is>
      </c>
      <c r="L19" s="3" t="inlineStr"/>
      <c r="M19" s="4" t="inlineStr"/>
      <c r="N19" s="3" t="inlineStr"/>
    </row>
    <row r="20">
      <c r="A20" s="2" t="inlineStr">
        <is>
          <t>TC-PAN-07</t>
        </is>
      </c>
      <c r="B20" s="2" t="inlineStr">
        <is>
          <t>Pantry</t>
        </is>
      </c>
      <c r="C20" s="2" t="inlineStr">
        <is>
          <t>Adding a duplicate (different case) is blocked</t>
        </is>
      </c>
      <c r="D20" s="2" t="inlineStr">
        <is>
          <t>High</t>
        </is>
      </c>
      <c r="E20" s="2" t="inlineStr">
        <is>
          <t>Simulator or iPhone</t>
        </is>
      </c>
      <c r="F20" s="2" t="inlineStr">
        <is>
          <t>Pantry already has Milk.</t>
        </is>
      </c>
      <c r="G20" s="2" t="inlineStr">
        <is>
          <t>Name: "  milk "</t>
        </is>
      </c>
      <c r="H20" s="2" t="inlineStr">
        <is>
          <t>1. Tap +, enter "  milk " with a quantity.
2. Tap Add.
3. Tap "Update Existing Quantity".</t>
        </is>
      </c>
      <c r="I20" s="2" t="inlineStr">
        <is>
          <t>Error says Milk is already in the pantry. "Update Existing Quantity" button appears and opens the Update Quantity sheet for Milk. No second Milk row.</t>
        </is>
      </c>
      <c r="J20" s="3" t="inlineStr"/>
      <c r="K20" s="3" t="inlineStr">
        <is>
          <t>Not Run</t>
        </is>
      </c>
      <c r="L20" s="3" t="inlineStr"/>
      <c r="M20" s="4" t="inlineStr"/>
      <c r="N20" s="3" t="inlineStr"/>
    </row>
    <row r="21">
      <c r="A21" s="2" t="inlineStr">
        <is>
          <t>TC-PAN-08</t>
        </is>
      </c>
      <c r="B21" s="2" t="inlineStr">
        <is>
          <t>Pantry</t>
        </is>
      </c>
      <c r="C21" s="2" t="inlineStr">
        <is>
          <t>Tap anywhere on a pantry row to edit</t>
        </is>
      </c>
      <c r="D21" s="2" t="inlineStr">
        <is>
          <t>Medium</t>
        </is>
      </c>
      <c r="E21" s="2" t="inlineStr">
        <is>
          <t>Simulator or iPhone</t>
        </is>
      </c>
      <c r="F21" s="2" t="inlineStr">
        <is>
          <t>Pantry has at least one item.</t>
        </is>
      </c>
      <c r="G21" s="2" t="inlineStr">
        <is>
          <t>-</t>
        </is>
      </c>
      <c r="H21" s="2" t="inlineStr">
        <is>
          <t>1. Tap the item name.
2. Close the sheet.
3. Tap the empty middle area of the same row.</t>
        </is>
      </c>
      <c r="I21" s="2" t="inlineStr">
        <is>
          <t>Update Quantity sheet opens in both cases. (Middle of the row used to ignore taps - see BUG-001.)</t>
        </is>
      </c>
      <c r="J21" s="3" t="inlineStr"/>
      <c r="K21" s="3" t="inlineStr">
        <is>
          <t>Not Run</t>
        </is>
      </c>
      <c r="L21" s="3" t="inlineStr"/>
      <c r="M21" s="4" t="inlineStr"/>
      <c r="N21" s="3" t="inlineStr"/>
    </row>
    <row r="22">
      <c r="A22" s="2" t="inlineStr">
        <is>
          <t>TC-PAN-09</t>
        </is>
      </c>
      <c r="B22" s="2" t="inlineStr">
        <is>
          <t>Pantry</t>
        </is>
      </c>
      <c r="C22" s="2" t="inlineStr">
        <is>
          <t>Update quantity and unit</t>
        </is>
      </c>
      <c r="D22" s="2" t="inlineStr">
        <is>
          <t>High</t>
        </is>
      </c>
      <c r="E22" s="2" t="inlineStr">
        <is>
          <t>Simulator or iPhone</t>
        </is>
      </c>
      <c r="F22" s="2" t="inlineStr">
        <is>
          <t>Pantry has Milk 500 ml.</t>
        </is>
      </c>
      <c r="G22" s="2" t="inlineStr">
        <is>
          <t>New quantity: 1
New unit: L</t>
        </is>
      </c>
      <c r="H22" s="2" t="inlineStr">
        <is>
          <t>1. Tap Milk.
2. Change quantity to 1 and unit to L.
3. Tap Save.</t>
        </is>
      </c>
      <c r="I22" s="2" t="inlineStr">
        <is>
          <t>Sheet closes and the row shows "1 L".</t>
        </is>
      </c>
      <c r="J22" s="3" t="inlineStr"/>
      <c r="K22" s="3" t="inlineStr">
        <is>
          <t>Not Run</t>
        </is>
      </c>
      <c r="L22" s="3" t="inlineStr"/>
      <c r="M22" s="4" t="inlineStr"/>
      <c r="N22" s="3" t="inlineStr"/>
    </row>
    <row r="23">
      <c r="A23" s="2" t="inlineStr">
        <is>
          <t>TC-PAN-10</t>
        </is>
      </c>
      <c r="B23" s="2" t="inlineStr">
        <is>
          <t>Pantry</t>
        </is>
      </c>
      <c r="C23" s="2" t="inlineStr">
        <is>
          <t>Update with an invalid quantity</t>
        </is>
      </c>
      <c r="D23" s="2" t="inlineStr">
        <is>
          <t>Medium</t>
        </is>
      </c>
      <c r="E23" s="2" t="inlineStr">
        <is>
          <t>Simulator or iPhone</t>
        </is>
      </c>
      <c r="F23" s="2" t="inlineStr">
        <is>
          <t>Pantry has Milk.</t>
        </is>
      </c>
      <c r="G23" s="2" t="inlineStr">
        <is>
          <t>Quantity: (empty)</t>
        </is>
      </c>
      <c r="H23" s="2" t="inlineStr">
        <is>
          <t>1. Tap Milk.
2. Clear the quantity.
3. Tap Save.</t>
        </is>
      </c>
      <c r="I23" s="2" t="inlineStr">
        <is>
          <t>An error is shown in the sheet. The row keeps its old quantity.</t>
        </is>
      </c>
      <c r="J23" s="3" t="inlineStr"/>
      <c r="K23" s="3" t="inlineStr">
        <is>
          <t>Not Run</t>
        </is>
      </c>
      <c r="L23" s="3" t="inlineStr"/>
      <c r="M23" s="4" t="inlineStr"/>
      <c r="N23" s="3" t="inlineStr"/>
    </row>
    <row r="24">
      <c r="A24" s="2" t="inlineStr">
        <is>
          <t>TC-PAN-11</t>
        </is>
      </c>
      <c r="B24" s="2" t="inlineStr">
        <is>
          <t>Pantry</t>
        </is>
      </c>
      <c r="C24" s="2" t="inlineStr">
        <is>
          <t>Cancel add / cancel update</t>
        </is>
      </c>
      <c r="D24" s="2" t="inlineStr">
        <is>
          <t>Low</t>
        </is>
      </c>
      <c r="E24" s="2" t="inlineStr">
        <is>
          <t>Simulator or iPhone</t>
        </is>
      </c>
      <c r="F24" s="2" t="inlineStr">
        <is>
          <t>Pantry has Milk.</t>
        </is>
      </c>
      <c r="G24" s="2" t="inlineStr">
        <is>
          <t>-</t>
        </is>
      </c>
      <c r="H24" s="2" t="inlineStr">
        <is>
          <t>1. Tap +, type something, tap Cancel.
2. Tap Milk, change quantity, tap Cancel.</t>
        </is>
      </c>
      <c r="I24" s="2" t="inlineStr">
        <is>
          <t>Nothing is added and Milk keeps its old quantity.</t>
        </is>
      </c>
      <c r="J24" s="3" t="inlineStr"/>
      <c r="K24" s="3" t="inlineStr">
        <is>
          <t>Not Run</t>
        </is>
      </c>
      <c r="L24" s="3" t="inlineStr"/>
      <c r="M24" s="4" t="inlineStr"/>
      <c r="N24" s="3" t="inlineStr"/>
    </row>
    <row r="25">
      <c r="A25" s="2" t="inlineStr">
        <is>
          <t>TC-PAN-12</t>
        </is>
      </c>
      <c r="B25" s="2" t="inlineStr">
        <is>
          <t>Pantry</t>
        </is>
      </c>
      <c r="C25" s="2" t="inlineStr">
        <is>
          <t>Swipe to delete</t>
        </is>
      </c>
      <c r="D25" s="2" t="inlineStr">
        <is>
          <t>High</t>
        </is>
      </c>
      <c r="E25" s="2" t="inlineStr">
        <is>
          <t>Simulator or iPhone</t>
        </is>
      </c>
      <c r="F25" s="2" t="inlineStr">
        <is>
          <t>Pantry has Butter.</t>
        </is>
      </c>
      <c r="G25" s="2" t="inlineStr">
        <is>
          <t>-</t>
        </is>
      </c>
      <c r="H25" s="2" t="inlineStr">
        <is>
          <t>1. Swipe left on Butter.
2. Tap Delete.</t>
        </is>
      </c>
      <c r="I25" s="2" t="inlineStr">
        <is>
          <t>Butter disappears. If it was the last item, the empty state shows.</t>
        </is>
      </c>
      <c r="J25" s="3" t="inlineStr"/>
      <c r="K25" s="3" t="inlineStr">
        <is>
          <t>Not Run</t>
        </is>
      </c>
      <c r="L25" s="3" t="inlineStr"/>
      <c r="M25" s="4" t="inlineStr"/>
      <c r="N25" s="3" t="inlineStr"/>
    </row>
    <row r="26">
      <c r="A26" s="2" t="inlineStr">
        <is>
          <t>TC-PAN-13</t>
        </is>
      </c>
      <c r="B26" s="2" t="inlineStr">
        <is>
          <t>Pantry</t>
        </is>
      </c>
      <c r="C26" s="2" t="inlineStr">
        <is>
          <t>Pantry is saved to the cloud</t>
        </is>
      </c>
      <c r="D26" s="2" t="inlineStr">
        <is>
          <t>High</t>
        </is>
      </c>
      <c r="E26" s="2" t="inlineStr">
        <is>
          <t>Simulator or iPhone</t>
        </is>
      </c>
      <c r="F26" s="2" t="inlineStr">
        <is>
          <t>Signed in, pantry has 2+ items.</t>
        </is>
      </c>
      <c r="G26" s="2" t="inlineStr">
        <is>
          <t>-</t>
        </is>
      </c>
      <c r="H26" s="2" t="inlineStr">
        <is>
          <t>1. Force quit the app.
2. Reopen it.
3. (Optional) Delete and reinstall the app, then log in again.</t>
        </is>
      </c>
      <c r="I26" s="2" t="inlineStr">
        <is>
          <t>Same items with the same quantities are still there.</t>
        </is>
      </c>
      <c r="J26" s="3" t="inlineStr"/>
      <c r="K26" s="3" t="inlineStr">
        <is>
          <t>Not Run</t>
        </is>
      </c>
      <c r="L26" s="3" t="inlineStr"/>
      <c r="M26" s="4" t="inlineStr"/>
      <c r="N26" s="3" t="inlineStr"/>
    </row>
    <row r="27">
      <c r="A27" s="2" t="inlineStr">
        <is>
          <t>TC-PAN-14</t>
        </is>
      </c>
      <c r="B27" s="2" t="inlineStr">
        <is>
          <t>Pantry</t>
        </is>
      </c>
      <c r="C27" s="2" t="inlineStr">
        <is>
          <t>Pull to refresh</t>
        </is>
      </c>
      <c r="D27" s="2" t="inlineStr">
        <is>
          <t>Low</t>
        </is>
      </c>
      <c r="E27" s="2" t="inlineStr">
        <is>
          <t>Simulator or iPhone</t>
        </is>
      </c>
      <c r="F27" s="2" t="inlineStr">
        <is>
          <t>Pantry has items.</t>
        </is>
      </c>
      <c r="G27" s="2" t="inlineStr">
        <is>
          <t>-</t>
        </is>
      </c>
      <c r="H27" s="2" t="inlineStr">
        <is>
          <t>1. Pull down on the pantry list.</t>
        </is>
      </c>
      <c r="I27" s="2" t="inlineStr">
        <is>
          <t>List reloads without errors or duplicates.</t>
        </is>
      </c>
      <c r="J27" s="3" t="inlineStr"/>
      <c r="K27" s="3" t="inlineStr">
        <is>
          <t>Not Run</t>
        </is>
      </c>
      <c r="L27" s="3" t="inlineStr"/>
      <c r="M27" s="4" t="inlineStr"/>
      <c r="N27" s="3" t="inlineStr"/>
    </row>
    <row r="28">
      <c r="A28" s="2" t="inlineStr">
        <is>
          <t>TC-PAN-15</t>
        </is>
      </c>
      <c r="B28" s="2" t="inlineStr">
        <is>
          <t>Pantry</t>
        </is>
      </c>
      <c r="C28" s="2" t="inlineStr">
        <is>
          <t>Each user only sees their own pantry</t>
        </is>
      </c>
      <c r="D28" s="2" t="inlineStr">
        <is>
          <t>High</t>
        </is>
      </c>
      <c r="E28" s="2" t="inlineStr">
        <is>
          <t>Simulator or iPhone</t>
        </is>
      </c>
      <c r="F28" s="2" t="inlineStr">
        <is>
          <t>Two accounts A and B.</t>
        </is>
      </c>
      <c r="G28" s="2" t="inlineStr">
        <is>
          <t>A adds "Tofu"</t>
        </is>
      </c>
      <c r="H28" s="2" t="inlineStr">
        <is>
          <t>1. Log in as A, add Tofu.
2. Sign out, log in as B.
3. Check the pantry.</t>
        </is>
      </c>
      <c r="I28" s="2" t="inlineStr">
        <is>
          <t>B does NOT see Tofu. Logging back in as A shows Tofu again.</t>
        </is>
      </c>
      <c r="J28" s="3" t="inlineStr"/>
      <c r="K28" s="3" t="inlineStr">
        <is>
          <t>Not Run</t>
        </is>
      </c>
      <c r="L28" s="3" t="inlineStr"/>
      <c r="M28" s="4" t="inlineStr"/>
      <c r="N28" s="3" t="inlineStr"/>
    </row>
    <row r="29">
      <c r="A29" s="2" t="inlineStr">
        <is>
          <t>TC-PAN-16</t>
        </is>
      </c>
      <c r="B29" s="2" t="inlineStr">
        <is>
          <t>Pantry</t>
        </is>
      </c>
      <c r="C29" s="2" t="inlineStr">
        <is>
          <t>Same account on two devices</t>
        </is>
      </c>
      <c r="D29" s="2" t="inlineStr">
        <is>
          <t>Medium</t>
        </is>
      </c>
      <c r="E29" s="2" t="inlineStr">
        <is>
          <t>Simulator + iPhone</t>
        </is>
      </c>
      <c r="F29" s="2" t="inlineStr">
        <is>
          <t>Same account logged in on two devices.</t>
        </is>
      </c>
      <c r="G29" s="2" t="inlineStr">
        <is>
          <t>Add "Garlic" on device 1</t>
        </is>
      </c>
      <c r="H29" s="2" t="inlineStr">
        <is>
          <t>1. Add Garlic on device 1.
2. On device 2, pull to refresh the pantry.</t>
        </is>
      </c>
      <c r="I29" s="2" t="inlineStr">
        <is>
          <t>Garlic shows up on device 2.</t>
        </is>
      </c>
      <c r="J29" s="3" t="inlineStr"/>
      <c r="K29" s="3" t="inlineStr">
        <is>
          <t>Not Run</t>
        </is>
      </c>
      <c r="L29" s="3" t="inlineStr"/>
      <c r="M29" s="4" t="inlineStr"/>
      <c r="N29" s="3" t="inlineStr"/>
    </row>
    <row r="30">
      <c r="A30" s="2" t="inlineStr">
        <is>
          <t>TC-REC-01</t>
        </is>
      </c>
      <c r="B30" s="2" t="inlineStr">
        <is>
          <t>Recipes</t>
        </is>
      </c>
      <c r="C30" s="2" t="inlineStr">
        <is>
          <t>Recipe list loads</t>
        </is>
      </c>
      <c r="D30" s="2" t="inlineStr">
        <is>
          <t>High</t>
        </is>
      </c>
      <c r="E30" s="2" t="inlineStr">
        <is>
          <t>Simulator or iPhone</t>
        </is>
      </c>
      <c r="F30" s="2" t="inlineStr">
        <is>
          <t>Signed in.</t>
        </is>
      </c>
      <c r="G30" s="2" t="inlineStr">
        <is>
          <t>-</t>
        </is>
      </c>
      <c r="H30" s="2" t="inlineStr">
        <is>
          <t>1. Open the Recipes tab.</t>
        </is>
      </c>
      <c r="I30" s="2" t="inlineStr">
        <is>
          <t>10 recipes are listed (e.g. Creamy Chicken Pasta, Classic Cheese Omelette...). Each row shows a status and matched/total count.</t>
        </is>
      </c>
      <c r="J30" s="3" t="inlineStr"/>
      <c r="K30" s="3" t="inlineStr">
        <is>
          <t>Not Run</t>
        </is>
      </c>
      <c r="L30" s="3" t="inlineStr"/>
      <c r="M30" s="4" t="inlineStr"/>
      <c r="N30" s="3" t="inlineStr"/>
    </row>
    <row r="31">
      <c r="A31" s="2" t="inlineStr">
        <is>
          <t>TC-REC-02</t>
        </is>
      </c>
      <c r="B31" s="2" t="inlineStr">
        <is>
          <t>Recipes</t>
        </is>
      </c>
      <c r="C31" s="2" t="inlineStr">
        <is>
          <t>Recipe is Makeable when everything is in the pantry</t>
        </is>
      </c>
      <c r="D31" s="2" t="inlineStr">
        <is>
          <t>High</t>
        </is>
      </c>
      <c r="E31" s="2" t="inlineStr">
        <is>
          <t>Simulator or iPhone</t>
        </is>
      </c>
      <c r="F31" s="2" t="inlineStr">
        <is>
          <t>Pantry: Eggs 6 pcs, Milk 500 ml, Cheddar 200 g.</t>
        </is>
      </c>
      <c r="G31" s="2" t="inlineStr">
        <is>
          <t>Recipe: Classic Cheese Omelette</t>
        </is>
      </c>
      <c r="H31" s="2" t="inlineStr">
        <is>
          <t>1. Open Recipes.
2. Find Classic Cheese Omelette.</t>
        </is>
      </c>
      <c r="I31" s="2" t="inlineStr">
        <is>
          <t>Green "Makeable" with 3/3 (100%).</t>
        </is>
      </c>
      <c r="J31" s="3" t="inlineStr"/>
      <c r="K31" s="3" t="inlineStr">
        <is>
          <t>Not Run</t>
        </is>
      </c>
      <c r="L31" s="3" t="inlineStr"/>
      <c r="M31" s="4" t="inlineStr"/>
      <c r="N31" s="3" t="inlineStr"/>
    </row>
    <row r="32">
      <c r="A32" s="2" t="inlineStr">
        <is>
          <t>TC-REC-03</t>
        </is>
      </c>
      <c r="B32" s="2" t="inlineStr">
        <is>
          <t>Recipes</t>
        </is>
      </c>
      <c r="C32" s="2" t="inlineStr">
        <is>
          <t>Recipe is Almost makeable with one item missing</t>
        </is>
      </c>
      <c r="D32" s="2" t="inlineStr">
        <is>
          <t>High</t>
        </is>
      </c>
      <c r="E32" s="2" t="inlineStr">
        <is>
          <t>Simulator or iPhone</t>
        </is>
      </c>
      <c r="F32" s="2" t="inlineStr">
        <is>
          <t>Pantry: Eggs 6 pcs, Milk 500 ml (no Cheddar).</t>
        </is>
      </c>
      <c r="G32" s="2" t="inlineStr">
        <is>
          <t>Recipe: Classic Cheese Omelette</t>
        </is>
      </c>
      <c r="H32" s="2" t="inlineStr">
        <is>
          <t>1. Open Recipes.
2. Find Classic Cheese Omelette.</t>
        </is>
      </c>
      <c r="I32" s="2" t="inlineStr">
        <is>
          <t>Orange "Almost makeable" with 2/3 (66%).</t>
        </is>
      </c>
      <c r="J32" s="3" t="inlineStr"/>
      <c r="K32" s="3" t="inlineStr">
        <is>
          <t>Not Run</t>
        </is>
      </c>
      <c r="L32" s="3" t="inlineStr"/>
      <c r="M32" s="4" t="inlineStr"/>
      <c r="N32" s="3" t="inlineStr"/>
    </row>
    <row r="33">
      <c r="A33" s="2" t="inlineStr">
        <is>
          <t>TC-REC-04</t>
        </is>
      </c>
      <c r="B33" s="2" t="inlineStr">
        <is>
          <t>Recipes</t>
        </is>
      </c>
      <c r="C33" s="2" t="inlineStr">
        <is>
          <t>Recipe is Not makeable with an empty pantry</t>
        </is>
      </c>
      <c r="D33" s="2" t="inlineStr">
        <is>
          <t>Medium</t>
        </is>
      </c>
      <c r="E33" s="2" t="inlineStr">
        <is>
          <t>Simulator or iPhone</t>
        </is>
      </c>
      <c r="F33" s="2" t="inlineStr">
        <is>
          <t>Empty pantry.</t>
        </is>
      </c>
      <c r="G33" s="2" t="inlineStr">
        <is>
          <t>Recipe: Classic Cheese Omelette</t>
        </is>
      </c>
      <c r="H33" s="2" t="inlineStr">
        <is>
          <t>1. Open Recipes.</t>
        </is>
      </c>
      <c r="I33" s="2" t="inlineStr">
        <is>
          <t>Red "Not makeable" with 0/3 (0%).</t>
        </is>
      </c>
      <c r="J33" s="3" t="inlineStr"/>
      <c r="K33" s="3" t="inlineStr">
        <is>
          <t>Not Run</t>
        </is>
      </c>
      <c r="L33" s="3" t="inlineStr"/>
      <c r="M33" s="4" t="inlineStr"/>
      <c r="N33" s="3" t="inlineStr"/>
    </row>
    <row r="34">
      <c r="A34" s="2" t="inlineStr">
        <is>
          <t>TC-REC-05</t>
        </is>
      </c>
      <c r="B34" s="2" t="inlineStr">
        <is>
          <t>Recipes</t>
        </is>
      </c>
      <c r="C34" s="2" t="inlineStr">
        <is>
          <t>Not enough quantity counts as insufficient</t>
        </is>
      </c>
      <c r="D34" s="2" t="inlineStr">
        <is>
          <t>High</t>
        </is>
      </c>
      <c r="E34" s="2" t="inlineStr">
        <is>
          <t>Simulator or iPhone</t>
        </is>
      </c>
      <c r="F34" s="2" t="inlineStr">
        <is>
          <t>Pantry: Eggs 1 pcs, Milk 500 ml, Cheddar 200 g.</t>
        </is>
      </c>
      <c r="G34" s="2" t="inlineStr">
        <is>
          <t>Omelette needs 3 eggs</t>
        </is>
      </c>
      <c r="H34" s="2" t="inlineStr">
        <is>
          <t>1. Open Recipes &gt; Classic Cheese Omelette.</t>
        </is>
      </c>
      <c r="I34" s="2" t="inlineStr">
        <is>
          <t>List shows Almost makeable. In the detail screen Eggs is marked insufficient (orange) and shows how many more are needed.</t>
        </is>
      </c>
      <c r="J34" s="3" t="inlineStr"/>
      <c r="K34" s="3" t="inlineStr">
        <is>
          <t>Not Run</t>
        </is>
      </c>
      <c r="L34" s="3" t="inlineStr"/>
      <c r="M34" s="4" t="inlineStr"/>
      <c r="N34" s="3" t="inlineStr"/>
    </row>
    <row r="35">
      <c r="A35" s="2" t="inlineStr">
        <is>
          <t>TC-REC-06</t>
        </is>
      </c>
      <c r="B35" s="2" t="inlineStr">
        <is>
          <t>Recipes</t>
        </is>
      </c>
      <c r="C35" s="2" t="inlineStr">
        <is>
          <t>Unit conversion L -&gt; ml and kg -&gt; g</t>
        </is>
      </c>
      <c r="D35" s="2" t="inlineStr">
        <is>
          <t>Medium</t>
        </is>
      </c>
      <c r="E35" s="2" t="inlineStr">
        <is>
          <t>Simulator or iPhone</t>
        </is>
      </c>
      <c r="F35" s="2" t="inlineStr">
        <is>
          <t>Pantry: Eggs 6 pcs, Milk 1 L, Cheddar 0.2 kg.</t>
        </is>
      </c>
      <c r="G35" s="2" t="inlineStr">
        <is>
          <t>Omelette needs 30 ml milk, 50 g cheddar</t>
        </is>
      </c>
      <c r="H35" s="2" t="inlineStr">
        <is>
          <t>1. Open Recipes.</t>
        </is>
      </c>
      <c r="I35" s="2" t="inlineStr">
        <is>
          <t>Classic Cheese Omelette is Makeable (1 L and 0.2 kg are converted).</t>
        </is>
      </c>
      <c r="J35" s="3" t="inlineStr"/>
      <c r="K35" s="3" t="inlineStr">
        <is>
          <t>Not Run</t>
        </is>
      </c>
      <c r="L35" s="3" t="inlineStr"/>
      <c r="M35" s="4" t="inlineStr"/>
      <c r="N35" s="3" t="inlineStr"/>
    </row>
    <row r="36">
      <c r="A36" s="2" t="inlineStr">
        <is>
          <t>TC-REC-07</t>
        </is>
      </c>
      <c r="B36" s="2" t="inlineStr">
        <is>
          <t>Recipes</t>
        </is>
      </c>
      <c r="C36" s="2" t="inlineStr">
        <is>
          <t>Units that can't be converted aren't guessed</t>
        </is>
      </c>
      <c r="D36" s="2" t="inlineStr">
        <is>
          <t>Medium</t>
        </is>
      </c>
      <c r="E36" s="2" t="inlineStr">
        <is>
          <t>Simulator or iPhone</t>
        </is>
      </c>
      <c r="F36" s="2" t="inlineStr">
        <is>
          <t>Pantry: Eggs 6 pcs, Milk 2 cup, Cheddar 200 g.</t>
        </is>
      </c>
      <c r="G36" s="2" t="inlineStr">
        <is>
          <t>Omelette needs 30 ml milk</t>
        </is>
      </c>
      <c r="H36" s="2" t="inlineStr">
        <is>
          <t>1. Open Recipes &gt; Classic Cheese Omelette.</t>
        </is>
      </c>
      <c r="I36" s="2" t="inlineStr">
        <is>
          <t>Milk is marked as unverified (blue), not available. Recipe is not shown as Makeable.</t>
        </is>
      </c>
      <c r="J36" s="3" t="inlineStr"/>
      <c r="K36" s="3" t="inlineStr">
        <is>
          <t>Not Run</t>
        </is>
      </c>
      <c r="L36" s="3" t="inlineStr"/>
      <c r="M36" s="4" t="inlineStr"/>
      <c r="N36" s="3" t="inlineStr"/>
    </row>
    <row r="37">
      <c r="A37" s="2" t="inlineStr">
        <is>
          <t>TC-REC-08</t>
        </is>
      </c>
      <c r="B37" s="2" t="inlineStr">
        <is>
          <t>Recipes</t>
        </is>
      </c>
      <c r="C37" s="2" t="inlineStr">
        <is>
          <t>Missing optional ingredient doesn't change status</t>
        </is>
      </c>
      <c r="D37" s="2" t="inlineStr">
        <is>
          <t>Medium</t>
        </is>
      </c>
      <c r="E37" s="2" t="inlineStr">
        <is>
          <t>Simulator or iPhone</t>
        </is>
      </c>
      <c r="F37" s="2" t="inlineStr">
        <is>
          <t>Pantry from TC-REC-02 (no Butter).</t>
        </is>
      </c>
      <c r="G37" s="2" t="inlineStr">
        <is>
          <t>Butter is optional</t>
        </is>
      </c>
      <c r="H37" s="2" t="inlineStr">
        <is>
          <t>1. Open Classic Cheese Omelette.</t>
        </is>
      </c>
      <c r="I37" s="2" t="inlineStr">
        <is>
          <t>Still Makeable. Butter is shown as optional and not counted.</t>
        </is>
      </c>
      <c r="J37" s="3" t="inlineStr"/>
      <c r="K37" s="3" t="inlineStr">
        <is>
          <t>Not Run</t>
        </is>
      </c>
      <c r="L37" s="3" t="inlineStr"/>
      <c r="M37" s="4" t="inlineStr"/>
      <c r="N37" s="3" t="inlineStr"/>
    </row>
    <row r="38">
      <c r="A38" s="2" t="inlineStr">
        <is>
          <t>TC-REC-09</t>
        </is>
      </c>
      <c r="B38" s="2" t="inlineStr">
        <is>
          <t>Recipes</t>
        </is>
      </c>
      <c r="C38" s="2" t="inlineStr">
        <is>
          <t>Status updates after the pantry changes</t>
        </is>
      </c>
      <c r="D38" s="2" t="inlineStr">
        <is>
          <t>High</t>
        </is>
      </c>
      <c r="E38" s="2" t="inlineStr">
        <is>
          <t>Simulator or iPhone</t>
        </is>
      </c>
      <c r="F38" s="2" t="inlineStr">
        <is>
          <t>Pantry from TC-REC-03.</t>
        </is>
      </c>
      <c r="G38" s="2" t="inlineStr">
        <is>
          <t>Add Cheddar 100 g</t>
        </is>
      </c>
      <c r="H38" s="2" t="inlineStr">
        <is>
          <t>1. Check Omelette is Almost makeable.
2. Go to Pantry, add Cheddar 100 g.
3. Go back to Recipes.</t>
        </is>
      </c>
      <c r="I38" s="2" t="inlineStr">
        <is>
          <t>Omelette now shows Makeable 3/3.</t>
        </is>
      </c>
      <c r="J38" s="3" t="inlineStr"/>
      <c r="K38" s="3" t="inlineStr">
        <is>
          <t>Not Run</t>
        </is>
      </c>
      <c r="L38" s="3" t="inlineStr"/>
      <c r="M38" s="4" t="inlineStr"/>
      <c r="N38" s="3" t="inlineStr"/>
    </row>
    <row r="39">
      <c r="A39" s="2" t="inlineStr">
        <is>
          <t>TC-REC-10</t>
        </is>
      </c>
      <c r="B39" s="2" t="inlineStr">
        <is>
          <t>Recipes</t>
        </is>
      </c>
      <c r="C39" s="2" t="inlineStr">
        <is>
          <t>Recipe detail screen content</t>
        </is>
      </c>
      <c r="D39" s="2" t="inlineStr">
        <is>
          <t>Low</t>
        </is>
      </c>
      <c r="E39" s="2" t="inlineStr">
        <is>
          <t>Simulator or iPhone</t>
        </is>
      </c>
      <c r="F39" s="2" t="inlineStr">
        <is>
          <t>Any pantry.</t>
        </is>
      </c>
      <c r="G39" s="2" t="inlineStr">
        <is>
          <t>Recipe: Creamy Chicken Pasta</t>
        </is>
      </c>
      <c r="H39" s="2" t="inlineStr">
        <is>
          <t>1. Tap Creamy Chicken Pasta.</t>
        </is>
      </c>
      <c r="I39" s="2" t="inlineStr">
        <is>
          <t>Shows summary, servings, Feasibility with % pantry coverage, ingredient list with icons, numbered instructions.</t>
        </is>
      </c>
      <c r="J39" s="3" t="inlineStr"/>
      <c r="K39" s="3" t="inlineStr">
        <is>
          <t>Not Run</t>
        </is>
      </c>
      <c r="L39" s="3" t="inlineStr"/>
      <c r="M39" s="4" t="inlineStr"/>
      <c r="N39" s="3" t="inlineStr"/>
    </row>
    <row r="40">
      <c r="A40" s="2" t="inlineStr">
        <is>
          <t>TC-SUB-01</t>
        </is>
      </c>
      <c r="B40" s="2" t="inlineStr">
        <is>
          <t>Substitution</t>
        </is>
      </c>
      <c r="C40" s="2" t="inlineStr">
        <is>
          <t>Find Substitute without an API key</t>
        </is>
      </c>
      <c r="D40" s="2" t="inlineStr">
        <is>
          <t>Medium</t>
        </is>
      </c>
      <c r="E40" s="2" t="inlineStr">
        <is>
          <t>Simulator or iPhone</t>
        </is>
      </c>
      <c r="F40" s="2" t="inlineStr">
        <is>
          <t>No OPENROUTER_API_KEY in Secrets.xcconfig. Pantry: Eggs, Milk.</t>
        </is>
      </c>
      <c r="G40" s="2" t="inlineStr">
        <is>
          <t>Missing: Cheddar</t>
        </is>
      </c>
      <c r="H40" s="2" t="inlineStr">
        <is>
          <t>1. Open Classic Cheese Omelette.
2. Tap Find Substitute under Cheddar.</t>
        </is>
      </c>
      <c r="I40" s="2" t="inlineStr">
        <is>
          <t>Message "Substitution suggestions aren't set up yet..." shown in red. No crash.</t>
        </is>
      </c>
      <c r="J40" s="3" t="inlineStr"/>
      <c r="K40" s="3" t="inlineStr">
        <is>
          <t>Not Run</t>
        </is>
      </c>
      <c r="L40" s="3" t="inlineStr"/>
      <c r="M40" s="4" t="inlineStr"/>
      <c r="N40" s="3" t="inlineStr"/>
    </row>
    <row r="41">
      <c r="A41" s="2" t="inlineStr">
        <is>
          <t>TC-SUB-02</t>
        </is>
      </c>
      <c r="B41" s="2" t="inlineStr">
        <is>
          <t>Substitution</t>
        </is>
      </c>
      <c r="C41" s="2" t="inlineStr">
        <is>
          <t>Find Substitute returns suggestions</t>
        </is>
      </c>
      <c r="D41" s="2" t="inlineStr">
        <is>
          <t>High</t>
        </is>
      </c>
      <c r="E41" s="2" t="inlineStr">
        <is>
          <t>Simulator or iPhone</t>
        </is>
      </c>
      <c r="F41" s="2" t="inlineStr">
        <is>
          <t>OpenRouter key set. Pantry: Eggs, Milk.</t>
        </is>
      </c>
      <c r="G41" s="2" t="inlineStr">
        <is>
          <t>Missing: Cheddar</t>
        </is>
      </c>
      <c r="H41" s="2" t="inlineStr">
        <is>
          <t>1. Open Classic Cheese Omelette.
2. Tap Find Substitute under Cheddar.</t>
        </is>
      </c>
      <c r="I41" s="2" t="inlineStr">
        <is>
          <t>"Finding substitutes..." shows, then a list of suggestion cards, each with a status (In your pantry / Not in pantry / etc.) and an explanation.</t>
        </is>
      </c>
      <c r="J41" s="3" t="inlineStr"/>
      <c r="K41" s="3" t="inlineStr">
        <is>
          <t>Not Run</t>
        </is>
      </c>
      <c r="L41" s="3" t="inlineStr"/>
      <c r="M41" s="4" t="inlineStr"/>
      <c r="N41" s="3" t="inlineStr"/>
    </row>
    <row r="42">
      <c r="A42" s="2" t="inlineStr">
        <is>
          <t>TC-SUB-03</t>
        </is>
      </c>
      <c r="B42" s="2" t="inlineStr">
        <is>
          <t>Substitution</t>
        </is>
      </c>
      <c r="C42" s="2" t="inlineStr">
        <is>
          <t>Suggestion that's in the pantry is marked correctly</t>
        </is>
      </c>
      <c r="D42" s="2" t="inlineStr">
        <is>
          <t>Medium</t>
        </is>
      </c>
      <c r="E42" s="2" t="inlineStr">
        <is>
          <t>Simulator or iPhone</t>
        </is>
      </c>
      <c r="F42" s="2" t="inlineStr">
        <is>
          <t>Key set. Pantry includes something the model suggests (e.g. Mozzarella 100 g).</t>
        </is>
      </c>
      <c r="G42" s="2" t="inlineStr">
        <is>
          <t>-</t>
        </is>
      </c>
      <c r="H42" s="2" t="inlineStr">
        <is>
          <t>1. Find Substitute for Cheddar.
2. Look at the card for an item you have.</t>
        </is>
      </c>
      <c r="I42" s="2" t="inlineStr">
        <is>
          <t>Card says "In your pantry" and "You have 100 g." Items you don't have say "Not in pantry".</t>
        </is>
      </c>
      <c r="J42" s="3" t="inlineStr"/>
      <c r="K42" s="3" t="inlineStr">
        <is>
          <t>Not Run</t>
        </is>
      </c>
      <c r="L42" s="3" t="inlineStr"/>
      <c r="M42" s="4" t="inlineStr"/>
      <c r="N42" s="3" t="inlineStr"/>
    </row>
    <row r="43">
      <c r="A43" s="2" t="inlineStr">
        <is>
          <t>TC-SUB-04</t>
        </is>
      </c>
      <c r="B43" s="2" t="inlineStr">
        <is>
          <t>Substitution</t>
        </is>
      </c>
      <c r="C43" s="2" t="inlineStr">
        <is>
          <t>Find Substitute with no internet</t>
        </is>
      </c>
      <c r="D43" s="2" t="inlineStr">
        <is>
          <t>Medium</t>
        </is>
      </c>
      <c r="E43" s="2" t="inlineStr">
        <is>
          <t>Real iPhone</t>
        </is>
      </c>
      <c r="F43" s="2" t="inlineStr">
        <is>
          <t>Key set. Airplane mode ON.</t>
        </is>
      </c>
      <c r="G43" s="2" t="inlineStr">
        <is>
          <t>-</t>
        </is>
      </c>
      <c r="H43" s="2" t="inlineStr">
        <is>
          <t>1. Tap Find Substitute.</t>
        </is>
      </c>
      <c r="I43" s="2" t="inlineStr">
        <is>
          <t>Message "Couldn't reach the substitution service. Check your connection and try again." No crash.</t>
        </is>
      </c>
      <c r="J43" s="3" t="inlineStr"/>
      <c r="K43" s="3" t="inlineStr">
        <is>
          <t>Not Run</t>
        </is>
      </c>
      <c r="L43" s="3" t="inlineStr"/>
      <c r="M43" s="4" t="inlineStr"/>
      <c r="N43" s="3" t="inlineStr"/>
    </row>
    <row r="44">
      <c r="A44" s="2" t="inlineStr">
        <is>
          <t>TC-SUB-05</t>
        </is>
      </c>
      <c r="B44" s="2" t="inlineStr">
        <is>
          <t>Substitution</t>
        </is>
      </c>
      <c r="C44" s="2" t="inlineStr">
        <is>
          <t>Each ingredient's button works separately</t>
        </is>
      </c>
      <c r="D44" s="2" t="inlineStr">
        <is>
          <t>Low</t>
        </is>
      </c>
      <c r="E44" s="2" t="inlineStr">
        <is>
          <t>Simulator or iPhone</t>
        </is>
      </c>
      <c r="F44" s="2" t="inlineStr">
        <is>
          <t>Key set. Recipe with 2+ missing ingredients.</t>
        </is>
      </c>
      <c r="G44" s="2" t="inlineStr">
        <is>
          <t>Recipe: Beef Tacos with empty pantry</t>
        </is>
      </c>
      <c r="H44" s="2" t="inlineStr">
        <is>
          <t>1. Tap Find Substitute for one ingredient.</t>
        </is>
      </c>
      <c r="I44" s="2" t="inlineStr">
        <is>
          <t>Only that ingredient shows loading/results; the other buttons are unaffected.</t>
        </is>
      </c>
      <c r="J44" s="3" t="inlineStr"/>
      <c r="K44" s="3" t="inlineStr">
        <is>
          <t>Not Run</t>
        </is>
      </c>
      <c r="L44" s="3" t="inlineStr"/>
      <c r="M44" s="4" t="inlineStr"/>
      <c r="N44" s="3" t="inlineStr"/>
    </row>
    <row r="45">
      <c r="A45" s="2" t="inlineStr">
        <is>
          <t>TC-AI-01</t>
        </is>
      </c>
      <c r="B45" s="2" t="inlineStr">
        <is>
          <t>Pantry Ideas (AI)</t>
        </is>
      </c>
      <c r="C45" s="2" t="inlineStr">
        <is>
          <t>Generate recipe ideas from the pantry</t>
        </is>
      </c>
      <c r="D45" s="2" t="inlineStr">
        <is>
          <t>High</t>
        </is>
      </c>
      <c r="E45" s="2" t="inlineStr">
        <is>
          <t>Real iPhone (Apple Intelligence)</t>
        </is>
      </c>
      <c r="F45" s="2" t="inlineStr">
        <is>
          <t>Apple Intelligence ON. Pantry: Eggs, Tomato, Cheddar, Bread.</t>
        </is>
      </c>
      <c r="G45" s="2" t="inlineStr">
        <is>
          <t>-</t>
        </is>
      </c>
      <c r="H45" s="2" t="inlineStr">
        <is>
          <t>1. Recipes &gt; tap Pantry Ideas (lightbulb).
2. Wait - ideas load on their own when the sheet opens.</t>
        </is>
      </c>
      <c r="I45" s="2" t="inlineStr">
        <is>
          <t>"Looking at your pantry..." then a list of ideas, each with "From your pantry" and "Missing" ingredients.</t>
        </is>
      </c>
      <c r="J45" s="3" t="inlineStr"/>
      <c r="K45" s="3" t="inlineStr">
        <is>
          <t>Not Run</t>
        </is>
      </c>
      <c r="L45" s="3" t="inlineStr"/>
      <c r="M45" s="4" t="inlineStr"/>
      <c r="N45" s="3" t="inlineStr"/>
    </row>
    <row r="46">
      <c r="A46" s="2" t="inlineStr">
        <is>
          <t>TC-AI-02</t>
        </is>
      </c>
      <c r="B46" s="2" t="inlineStr">
        <is>
          <t>Pantry Ideas (AI)</t>
        </is>
      </c>
      <c r="C46" s="2" t="inlineStr">
        <is>
          <t>Ideas don't claim ingredients you don't have</t>
        </is>
      </c>
      <c r="D46" s="2" t="inlineStr">
        <is>
          <t>High</t>
        </is>
      </c>
      <c r="E46" s="2" t="inlineStr">
        <is>
          <t>Real iPhone (Apple Intelligence)</t>
        </is>
      </c>
      <c r="F46" s="2" t="inlineStr">
        <is>
          <t>Same as TC-AI-01.</t>
        </is>
      </c>
      <c r="G46" s="2" t="inlineStr">
        <is>
          <t>-</t>
        </is>
      </c>
      <c r="H46" s="2" t="inlineStr">
        <is>
          <t>1. Generate ideas.
2. Compare each "From your pantry" item with the Pantry tab.</t>
        </is>
      </c>
      <c r="I46" s="2" t="inlineStr">
        <is>
          <t>Every "From your pantry" ingredient really exists in the pantry. Anything else is under Missing.</t>
        </is>
      </c>
      <c r="J46" s="3" t="inlineStr"/>
      <c r="K46" s="3" t="inlineStr">
        <is>
          <t>Not Run</t>
        </is>
      </c>
      <c r="L46" s="3" t="inlineStr"/>
      <c r="M46" s="4" t="inlineStr"/>
      <c r="N46" s="3" t="inlineStr"/>
    </row>
    <row r="47">
      <c r="A47" s="2" t="inlineStr">
        <is>
          <t>TC-AI-03</t>
        </is>
      </c>
      <c r="B47" s="2" t="inlineStr">
        <is>
          <t>Pantry Ideas (AI)</t>
        </is>
      </c>
      <c r="C47" s="2" t="inlineStr">
        <is>
          <t>Empty pantry</t>
        </is>
      </c>
      <c r="D47" s="2" t="inlineStr">
        <is>
          <t>Medium</t>
        </is>
      </c>
      <c r="E47" s="2" t="inlineStr">
        <is>
          <t>Real iPhone (Apple Intelligence)</t>
        </is>
      </c>
      <c r="F47" s="2" t="inlineStr">
        <is>
          <t>Empty pantry.</t>
        </is>
      </c>
      <c r="G47" s="2" t="inlineStr">
        <is>
          <t>-</t>
        </is>
      </c>
      <c r="H47" s="2" t="inlineStr">
        <is>
          <t>1. Open Pantry Ideas and wait for it to load.</t>
        </is>
      </c>
      <c r="I47" s="2" t="inlineStr">
        <is>
          <t>"No Ideas Yet" / "There isn't enough in your pantry to suggest a recipe yet..." shown.</t>
        </is>
      </c>
      <c r="J47" s="3" t="inlineStr"/>
      <c r="K47" s="3" t="inlineStr">
        <is>
          <t>Not Run</t>
        </is>
      </c>
      <c r="L47" s="3" t="inlineStr"/>
      <c r="M47" s="4" t="inlineStr"/>
      <c r="N47" s="3" t="inlineStr"/>
    </row>
    <row r="48">
      <c r="A48" s="2" t="inlineStr">
        <is>
          <t>TC-AI-04</t>
        </is>
      </c>
      <c r="B48" s="2" t="inlineStr">
        <is>
          <t>Pantry Ideas (AI)</t>
        </is>
      </c>
      <c r="C48" s="2" t="inlineStr">
        <is>
          <t>Apple Intelligence turned off</t>
        </is>
      </c>
      <c r="D48" s="2" t="inlineStr">
        <is>
          <t>Medium</t>
        </is>
      </c>
      <c r="E48" s="2" t="inlineStr">
        <is>
          <t>Real iPhone</t>
        </is>
      </c>
      <c r="F48" s="2" t="inlineStr">
        <is>
          <t>Settings &gt; Apple Intelligence OFF.</t>
        </is>
      </c>
      <c r="G48" s="2" t="inlineStr">
        <is>
          <t>-</t>
        </is>
      </c>
      <c r="H48" s="2" t="inlineStr">
        <is>
          <t>1. Open Pantry Ideas.</t>
        </is>
      </c>
      <c r="I48" s="2" t="inlineStr">
        <is>
          <t>"Apple Intelligence Is Off" with an explanation. No crash.</t>
        </is>
      </c>
      <c r="J48" s="3" t="inlineStr"/>
      <c r="K48" s="3" t="inlineStr">
        <is>
          <t>Not Run</t>
        </is>
      </c>
      <c r="L48" s="3" t="inlineStr"/>
      <c r="M48" s="4" t="inlineStr"/>
      <c r="N48" s="3" t="inlineStr"/>
    </row>
    <row r="49">
      <c r="A49" s="2" t="inlineStr">
        <is>
          <t>TC-AI-05</t>
        </is>
      </c>
      <c r="B49" s="2" t="inlineStr">
        <is>
          <t>Pantry Ideas (AI)</t>
        </is>
      </c>
      <c r="C49" s="2" t="inlineStr">
        <is>
          <t>Unsupported device / simulator</t>
        </is>
      </c>
      <c r="D49" s="2" t="inlineStr">
        <is>
          <t>Low</t>
        </is>
      </c>
      <c r="E49" s="2" t="inlineStr">
        <is>
          <t>Simulator</t>
        </is>
      </c>
      <c r="F49" s="2" t="inlineStr">
        <is>
          <t>Run on the simulator.</t>
        </is>
      </c>
      <c r="G49" s="2" t="inlineStr">
        <is>
          <t>-</t>
        </is>
      </c>
      <c r="H49" s="2" t="inlineStr">
        <is>
          <t>1. Open Pantry Ideas.</t>
        </is>
      </c>
      <c r="I49" s="2" t="inlineStr">
        <is>
          <t>An "unavailable" explanation is shown (e.g. Not Supported on This Device). No crash.</t>
        </is>
      </c>
      <c r="J49" s="3" t="inlineStr"/>
      <c r="K49" s="3" t="inlineStr">
        <is>
          <t>Not Run</t>
        </is>
      </c>
      <c r="L49" s="3" t="inlineStr"/>
      <c r="M49" s="4" t="inlineStr"/>
      <c r="N49" s="3" t="inlineStr"/>
    </row>
    <row r="50">
      <c r="A50" s="2" t="inlineStr">
        <is>
          <t>TC-SCN-01</t>
        </is>
      </c>
      <c r="B50" s="2" t="inlineStr">
        <is>
          <t>Receipt Scan</t>
        </is>
      </c>
      <c r="C50" s="2" t="inlineStr">
        <is>
          <t>Scanning unavailable on simulator</t>
        </is>
      </c>
      <c r="D50" s="2" t="inlineStr">
        <is>
          <t>Medium</t>
        </is>
      </c>
      <c r="E50" s="2" t="inlineStr">
        <is>
          <t>Simulator</t>
        </is>
      </c>
      <c r="F50" s="2" t="inlineStr">
        <is>
          <t>Run on simulator.</t>
        </is>
      </c>
      <c r="G50" s="2" t="inlineStr">
        <is>
          <t>-</t>
        </is>
      </c>
      <c r="H50" s="2" t="inlineStr">
        <is>
          <t>1. Pantry &gt; Scan Receipt.</t>
        </is>
      </c>
      <c r="I50" s="2" t="inlineStr">
        <is>
          <t>"Receipt Scanning Is Unavailable" with an "Add Ingredients by Hand" button that closes the scanner.</t>
        </is>
      </c>
      <c r="J50" s="3" t="inlineStr"/>
      <c r="K50" s="3" t="inlineStr">
        <is>
          <t>Not Run</t>
        </is>
      </c>
      <c r="L50" s="3" t="inlineStr"/>
      <c r="M50" s="4" t="inlineStr"/>
      <c r="N50" s="3" t="inlineStr"/>
    </row>
    <row r="51">
      <c r="A51" s="2" t="inlineStr">
        <is>
          <t>TC-SCN-02</t>
        </is>
      </c>
      <c r="B51" s="2" t="inlineStr">
        <is>
          <t>Receipt Scan</t>
        </is>
      </c>
      <c r="C51" s="2" t="inlineStr">
        <is>
          <t>Camera permission denied</t>
        </is>
      </c>
      <c r="D51" s="2" t="inlineStr">
        <is>
          <t>Medium</t>
        </is>
      </c>
      <c r="E51" s="2" t="inlineStr">
        <is>
          <t>Real iPhone (Apple Intelligence)</t>
        </is>
      </c>
      <c r="F51" s="2" t="inlineStr">
        <is>
          <t>Camera access denied in Settings &gt; FridgeFit.</t>
        </is>
      </c>
      <c r="G51" s="2" t="inlineStr">
        <is>
          <t>-</t>
        </is>
      </c>
      <c r="H51" s="2" t="inlineStr">
        <is>
          <t>1. Scan Receipt &gt; Take Photo.
2. Then try Choose from Library.</t>
        </is>
      </c>
      <c r="I51" s="2" t="inlineStr">
        <is>
          <t>Explains that camera access is needed. Choose from Library still works.</t>
        </is>
      </c>
      <c r="J51" s="3" t="inlineStr"/>
      <c r="K51" s="3" t="inlineStr">
        <is>
          <t>Not Run</t>
        </is>
      </c>
      <c r="L51" s="3" t="inlineStr"/>
      <c r="M51" s="4" t="inlineStr"/>
      <c r="N51" s="3" t="inlineStr"/>
    </row>
    <row r="52">
      <c r="A52" s="2" t="inlineStr">
        <is>
          <t>TC-SCN-03</t>
        </is>
      </c>
      <c r="B52" s="2" t="inlineStr">
        <is>
          <t>Receipt Scan</t>
        </is>
      </c>
      <c r="C52" s="2" t="inlineStr">
        <is>
          <t>Scan a real grocery receipt with the camera</t>
        </is>
      </c>
      <c r="D52" s="2" t="inlineStr">
        <is>
          <t>High</t>
        </is>
      </c>
      <c r="E52" s="2" t="inlineStr">
        <is>
          <t>Real iPhone (Apple Intelligence)</t>
        </is>
      </c>
      <c r="F52" s="2" t="inlineStr">
        <is>
          <t>Apple Intelligence ON. A printed supermarket receipt.</t>
        </is>
      </c>
      <c r="G52" s="2" t="inlineStr">
        <is>
          <t>Woolworths / Coles receipt</t>
        </is>
      </c>
      <c r="H52" s="2" t="inlineStr">
        <is>
          <t>1. Scan Receipt &gt; Take Photo.
2. Photograph the receipt flat, filling the frame.
3. Tap Read Receipt.</t>
        </is>
      </c>
      <c r="I52" s="2" t="inlineStr">
        <is>
          <t>"Reading your receipt..." shows, then "Detected Grocery Items" lists the food items from the receipt.</t>
        </is>
      </c>
      <c r="J52" s="3" t="inlineStr"/>
      <c r="K52" s="3" t="inlineStr">
        <is>
          <t>Not Run</t>
        </is>
      </c>
      <c r="L52" s="3" t="inlineStr"/>
      <c r="M52" s="4" t="inlineStr"/>
      <c r="N52" s="3" t="inlineStr"/>
    </row>
    <row r="53">
      <c r="A53" s="2" t="inlineStr">
        <is>
          <t>TC-SCN-04</t>
        </is>
      </c>
      <c r="B53" s="2" t="inlineStr">
        <is>
          <t>Receipt Scan</t>
        </is>
      </c>
      <c r="C53" s="2" t="inlineStr">
        <is>
          <t>Scan a receipt from the photo library</t>
        </is>
      </c>
      <c r="D53" s="2" t="inlineStr">
        <is>
          <t>High</t>
        </is>
      </c>
      <c r="E53" s="2" t="inlineStr">
        <is>
          <t>Real iPhone (Apple Intelligence)</t>
        </is>
      </c>
      <c r="F53" s="2" t="inlineStr">
        <is>
          <t>A receipt photo saved in Photos.</t>
        </is>
      </c>
      <c r="G53" s="2" t="inlineStr">
        <is>
          <t>-</t>
        </is>
      </c>
      <c r="H53" s="2" t="inlineStr">
        <is>
          <t>1. Scan Receipt &gt; Choose from Library.
2. Pick the receipt.
3. Tap Read Receipt.</t>
        </is>
      </c>
      <c r="I53" s="2" t="inlineStr">
        <is>
          <t>Same as TC-SCN-03.</t>
        </is>
      </c>
      <c r="J53" s="3" t="inlineStr"/>
      <c r="K53" s="3" t="inlineStr">
        <is>
          <t>Not Run</t>
        </is>
      </c>
      <c r="L53" s="3" t="inlineStr"/>
      <c r="M53" s="4" t="inlineStr"/>
      <c r="N53" s="3" t="inlineStr"/>
    </row>
    <row r="54">
      <c r="A54" s="2" t="inlineStr">
        <is>
          <t>TC-SCN-05</t>
        </is>
      </c>
      <c r="B54" s="2" t="inlineStr">
        <is>
          <t>Receipt Scan</t>
        </is>
      </c>
      <c r="C54" s="2" t="inlineStr">
        <is>
          <t>Photo that isn't a receipt</t>
        </is>
      </c>
      <c r="D54" s="2" t="inlineStr">
        <is>
          <t>Medium</t>
        </is>
      </c>
      <c r="E54" s="2" t="inlineStr">
        <is>
          <t>Real iPhone (Apple Intelligence)</t>
        </is>
      </c>
      <c r="F54" s="2" t="inlineStr">
        <is>
          <t>-</t>
        </is>
      </c>
      <c r="G54" s="2" t="inlineStr">
        <is>
          <t>Photo of a room / landscape</t>
        </is>
      </c>
      <c r="H54" s="2" t="inlineStr">
        <is>
          <t>1. Choose the photo.
2. Tap Read Receipt.</t>
        </is>
      </c>
      <c r="I54" s="2" t="inlineStr">
        <is>
          <t>Friendly error, e.g. "That doesn't look like a grocery receipt..." or "No text could be read...". No crash, nothing added.</t>
        </is>
      </c>
      <c r="J54" s="3" t="inlineStr"/>
      <c r="K54" s="3" t="inlineStr">
        <is>
          <t>Not Run</t>
        </is>
      </c>
      <c r="L54" s="3" t="inlineStr"/>
      <c r="M54" s="4" t="inlineStr"/>
      <c r="N54" s="3" t="inlineStr"/>
    </row>
    <row r="55">
      <c r="A55" s="2" t="inlineStr">
        <is>
          <t>TC-SCN-06</t>
        </is>
      </c>
      <c r="B55" s="2" t="inlineStr">
        <is>
          <t>Receipt Scan</t>
        </is>
      </c>
      <c r="C55" s="2" t="inlineStr">
        <is>
          <t>Blurry receipt photo</t>
        </is>
      </c>
      <c r="D55" s="2" t="inlineStr">
        <is>
          <t>Low</t>
        </is>
      </c>
      <c r="E55" s="2" t="inlineStr">
        <is>
          <t>Real iPhone (Apple Intelligence)</t>
        </is>
      </c>
      <c r="F55" s="2" t="inlineStr">
        <is>
          <t>-</t>
        </is>
      </c>
      <c r="G55" s="2" t="inlineStr">
        <is>
          <t>Deliberately blurry photo</t>
        </is>
      </c>
      <c r="H55" s="2" t="inlineStr">
        <is>
          <t>1. Choose the photo.
2. Tap Read Receipt.</t>
        </is>
      </c>
      <c r="I55" s="2" t="inlineStr">
        <is>
          <t>Error asks to lay the receipt flat / make sure it's in focus. No crash.</t>
        </is>
      </c>
      <c r="J55" s="3" t="inlineStr"/>
      <c r="K55" s="3" t="inlineStr">
        <is>
          <t>Not Run</t>
        </is>
      </c>
      <c r="L55" s="3" t="inlineStr"/>
      <c r="M55" s="4" t="inlineStr"/>
      <c r="N55" s="3" t="inlineStr"/>
    </row>
    <row r="56">
      <c r="A56" s="2" t="inlineStr">
        <is>
          <t>TC-SCN-07</t>
        </is>
      </c>
      <c r="B56" s="2" t="inlineStr">
        <is>
          <t>Receipt Scan</t>
        </is>
      </c>
      <c r="C56" s="2" t="inlineStr">
        <is>
          <t>Non-food items are left out</t>
        </is>
      </c>
      <c r="D56" s="2" t="inlineStr">
        <is>
          <t>High</t>
        </is>
      </c>
      <c r="E56" s="2" t="inlineStr">
        <is>
          <t>Real iPhone (Apple Intelligence)</t>
        </is>
      </c>
      <c r="F56" s="2" t="inlineStr">
        <is>
          <t>Receipt that includes cleaning products or drinks.</t>
        </is>
      </c>
      <c r="G56" s="2" t="inlineStr">
        <is>
          <t>e.g. dishwashing liquid, Coke</t>
        </is>
      </c>
      <c r="H56" s="2" t="inlineStr">
        <is>
          <t>1. Scan the receipt.</t>
        </is>
      </c>
      <c r="I56" s="2" t="inlineStr">
        <is>
          <t>Detergent / personal care items do NOT appear in the review list.</t>
        </is>
      </c>
      <c r="J56" s="3" t="inlineStr"/>
      <c r="K56" s="3" t="inlineStr">
        <is>
          <t>Not Run</t>
        </is>
      </c>
      <c r="L56" s="3" t="inlineStr"/>
      <c r="M56" s="4" t="inlineStr"/>
      <c r="N56" s="3" t="inlineStr"/>
    </row>
    <row r="57">
      <c r="A57" s="2" t="inlineStr">
        <is>
          <t>TC-SCN-08</t>
        </is>
      </c>
      <c r="B57" s="2" t="inlineStr">
        <is>
          <t>Receipt Scan</t>
        </is>
      </c>
      <c r="C57" s="2" t="inlineStr">
        <is>
          <t>Quantity read from the receipt line</t>
        </is>
      </c>
      <c r="D57" s="2" t="inlineStr">
        <is>
          <t>Medium</t>
        </is>
      </c>
      <c r="E57" s="2" t="inlineStr">
        <is>
          <t>Real iPhone (Apple Intelligence)</t>
        </is>
      </c>
      <c r="F57" s="2" t="inlineStr">
        <is>
          <t>Receipt with a weight on the line.</t>
        </is>
      </c>
      <c r="G57" s="2" t="inlineStr">
        <is>
          <t>e.g. "CHKN BREAST 500G"</t>
        </is>
      </c>
      <c r="H57" s="2" t="inlineStr">
        <is>
          <t>1. Scan the receipt.</t>
        </is>
      </c>
      <c r="I57" s="2" t="inlineStr">
        <is>
          <t>That item shows 500 with unit g, and "From receipt line ..." shows the original line.</t>
        </is>
      </c>
      <c r="J57" s="3" t="inlineStr"/>
      <c r="K57" s="3" t="inlineStr">
        <is>
          <t>Not Run</t>
        </is>
      </c>
      <c r="L57" s="3" t="inlineStr"/>
      <c r="M57" s="4" t="inlineStr"/>
      <c r="N57" s="3" t="inlineStr"/>
    </row>
    <row r="58">
      <c r="A58" s="2" t="inlineStr">
        <is>
          <t>TC-SCN-09</t>
        </is>
      </c>
      <c r="B58" s="2" t="inlineStr">
        <is>
          <t>Receipt Scan</t>
        </is>
      </c>
      <c r="C58" s="2" t="inlineStr">
        <is>
          <t>Quantity not on the receipt</t>
        </is>
      </c>
      <c r="D58" s="2" t="inlineStr">
        <is>
          <t>Medium</t>
        </is>
      </c>
      <c r="E58" s="2" t="inlineStr">
        <is>
          <t>Real iPhone (Apple Intelligence)</t>
        </is>
      </c>
      <c r="F58" s="2" t="inlineStr">
        <is>
          <t>Receipt line with no weight (e.g. BANANA CAVENDISH).</t>
        </is>
      </c>
      <c r="G58" s="2" t="inlineStr">
        <is>
          <t>-</t>
        </is>
      </c>
      <c r="H58" s="2" t="inlineStr">
        <is>
          <t>1. Scan.
2. Leave the quantity empty and tap Add to Pantry.</t>
        </is>
      </c>
      <c r="I58" s="2" t="inlineStr">
        <is>
          <t>Row says "Quantity not detected - enter one to add this item." Adding without a quantity is rejected with a message; the item is not added with a made-up number.</t>
        </is>
      </c>
      <c r="J58" s="3" t="inlineStr"/>
      <c r="K58" s="3" t="inlineStr">
        <is>
          <t>Not Run</t>
        </is>
      </c>
      <c r="L58" s="3" t="inlineStr"/>
      <c r="M58" s="4" t="inlineStr"/>
      <c r="N58" s="3" t="inlineStr"/>
    </row>
    <row r="59">
      <c r="A59" s="2" t="inlineStr">
        <is>
          <t>TC-SCN-10</t>
        </is>
      </c>
      <c r="B59" s="2" t="inlineStr">
        <is>
          <t>Receipt Scan</t>
        </is>
      </c>
      <c r="C59" s="2" t="inlineStr">
        <is>
          <t>Edit items before adding</t>
        </is>
      </c>
      <c r="D59" s="2" t="inlineStr">
        <is>
          <t>High</t>
        </is>
      </c>
      <c r="E59" s="2" t="inlineStr">
        <is>
          <t>Real iPhone (Apple Intelligence)</t>
        </is>
      </c>
      <c r="F59" s="2" t="inlineStr">
        <is>
          <t>Review screen open.</t>
        </is>
      </c>
      <c r="G59" s="2" t="inlineStr">
        <is>
          <t>Rename "Chkn Breast" to "Chicken Breast", change unit</t>
        </is>
      </c>
      <c r="H59" s="2" t="inlineStr">
        <is>
          <t>1. Edit name, category, quantity and unit of an item.
2. Add to Pantry.</t>
        </is>
      </c>
      <c r="I59" s="2" t="inlineStr">
        <is>
          <t>Pantry shows the edited values, not the scanned ones.</t>
        </is>
      </c>
      <c r="J59" s="3" t="inlineStr"/>
      <c r="K59" s="3" t="inlineStr">
        <is>
          <t>Not Run</t>
        </is>
      </c>
      <c r="L59" s="3" t="inlineStr"/>
      <c r="M59" s="4" t="inlineStr"/>
      <c r="N59" s="3" t="inlineStr"/>
    </row>
    <row r="60">
      <c r="A60" s="2" t="inlineStr">
        <is>
          <t>TC-SCN-11</t>
        </is>
      </c>
      <c r="B60" s="2" t="inlineStr">
        <is>
          <t>Receipt Scan</t>
        </is>
      </c>
      <c r="C60" s="2" t="inlineStr">
        <is>
          <t>Unticked / removed items are not added</t>
        </is>
      </c>
      <c r="D60" s="2" t="inlineStr">
        <is>
          <t>High</t>
        </is>
      </c>
      <c r="E60" s="2" t="inlineStr">
        <is>
          <t>Real iPhone (Apple Intelligence)</t>
        </is>
      </c>
      <c r="F60" s="2" t="inlineStr">
        <is>
          <t>Review screen open with 3+ items.</t>
        </is>
      </c>
      <c r="G60" s="2" t="inlineStr">
        <is>
          <t>-</t>
        </is>
      </c>
      <c r="H60" s="2" t="inlineStr">
        <is>
          <t>1. Untick one item, swipe-delete another.
2. Add to Pantry.</t>
        </is>
      </c>
      <c r="I60" s="2" t="inlineStr">
        <is>
          <t>Only ticked items end up in the pantry.</t>
        </is>
      </c>
      <c r="J60" s="3" t="inlineStr"/>
      <c r="K60" s="3" t="inlineStr">
        <is>
          <t>Not Run</t>
        </is>
      </c>
      <c r="L60" s="3" t="inlineStr"/>
      <c r="M60" s="4" t="inlineStr"/>
      <c r="N60" s="3" t="inlineStr"/>
    </row>
    <row r="61">
      <c r="A61" s="2" t="inlineStr">
        <is>
          <t>TC-SCN-12</t>
        </is>
      </c>
      <c r="B61" s="2" t="inlineStr">
        <is>
          <t>Receipt Scan</t>
        </is>
      </c>
      <c r="C61" s="2" t="inlineStr">
        <is>
          <t>Item already in the pantry</t>
        </is>
      </c>
      <c r="D61" s="2" t="inlineStr">
        <is>
          <t>Medium</t>
        </is>
      </c>
      <c r="E61" s="2" t="inlineStr">
        <is>
          <t>Real iPhone (Apple Intelligence)</t>
        </is>
      </c>
      <c r="F61" s="2" t="inlineStr">
        <is>
          <t>Pantry already has Milk. Receipt contains milk.</t>
        </is>
      </c>
      <c r="G61" s="2" t="inlineStr">
        <is>
          <t>-</t>
        </is>
      </c>
      <c r="H61" s="2" t="inlineStr">
        <is>
          <t>1. Scan the receipt.</t>
        </is>
      </c>
      <c r="I61" s="2" t="inlineStr">
        <is>
          <t>Milk starts unticked with "Already in your pantry..." note. Adding it anyway is reported as already in the pantry and the old quantity isn't changed.</t>
        </is>
      </c>
      <c r="J61" s="3" t="inlineStr"/>
      <c r="K61" s="3" t="inlineStr">
        <is>
          <t>Not Run</t>
        </is>
      </c>
      <c r="L61" s="3" t="inlineStr"/>
      <c r="M61" s="4" t="inlineStr"/>
      <c r="N61" s="3" t="inlineStr"/>
    </row>
    <row r="62">
      <c r="A62" s="2" t="inlineStr">
        <is>
          <t>TC-SCN-13</t>
        </is>
      </c>
      <c r="B62" s="2" t="inlineStr">
        <is>
          <t>Receipt Scan</t>
        </is>
      </c>
      <c r="C62" s="2" t="inlineStr">
        <is>
          <t>Add confirmed items to the pantry</t>
        </is>
      </c>
      <c r="D62" s="2" t="inlineStr">
        <is>
          <t>High</t>
        </is>
      </c>
      <c r="E62" s="2" t="inlineStr">
        <is>
          <t>Real iPhone (Apple Intelligence)</t>
        </is>
      </c>
      <c r="F62" s="2" t="inlineStr">
        <is>
          <t>Review screen open.</t>
        </is>
      </c>
      <c r="G62" s="2" t="inlineStr">
        <is>
          <t>-</t>
        </is>
      </c>
      <c r="H62" s="2" t="inlineStr">
        <is>
          <t>1. Tap Add N to Pantry.</t>
        </is>
      </c>
      <c r="I62" s="2" t="inlineStr">
        <is>
          <t>Scanner closes and a "Receipt Scan" alert says what was added (e.g. "Added 4 ingredients to your pantry."). Items are in the pantry.</t>
        </is>
      </c>
      <c r="J62" s="3" t="inlineStr"/>
      <c r="K62" s="3" t="inlineStr">
        <is>
          <t>Not Run</t>
        </is>
      </c>
      <c r="L62" s="3" t="inlineStr"/>
      <c r="M62" s="4" t="inlineStr"/>
      <c r="N62" s="3" t="inlineStr"/>
    </row>
    <row r="63">
      <c r="A63" s="2" t="inlineStr">
        <is>
          <t>TC-SCN-14</t>
        </is>
      </c>
      <c r="B63" s="2" t="inlineStr">
        <is>
          <t>Receipt Scan</t>
        </is>
      </c>
      <c r="C63" s="2" t="inlineStr">
        <is>
          <t>Cancel a scan in progress</t>
        </is>
      </c>
      <c r="D63" s="2" t="inlineStr">
        <is>
          <t>Low</t>
        </is>
      </c>
      <c r="E63" s="2" t="inlineStr">
        <is>
          <t>Real iPhone (Apple Intelligence)</t>
        </is>
      </c>
      <c r="F63" s="2" t="inlineStr">
        <is>
          <t>Photo selected.</t>
        </is>
      </c>
      <c r="G63" s="2" t="inlineStr">
        <is>
          <t>-</t>
        </is>
      </c>
      <c r="H63" s="2" t="inlineStr">
        <is>
          <t>1. Tap Read Receipt.
2. Tap Cancel Scan straight away.</t>
        </is>
      </c>
      <c r="I63" s="2" t="inlineStr">
        <is>
          <t>Scan stops, no results appear, user can read again or choose another photo.</t>
        </is>
      </c>
      <c r="J63" s="3" t="inlineStr"/>
      <c r="K63" s="3" t="inlineStr">
        <is>
          <t>Not Run</t>
        </is>
      </c>
      <c r="L63" s="3" t="inlineStr"/>
      <c r="M63" s="4" t="inlineStr"/>
      <c r="N63" s="3" t="inlineStr"/>
    </row>
    <row r="64">
      <c r="A64" s="2" t="inlineStr">
        <is>
          <t>TC-SCN-15</t>
        </is>
      </c>
      <c r="B64" s="2" t="inlineStr">
        <is>
          <t>Receipt Scan</t>
        </is>
      </c>
      <c r="C64" s="2" t="inlineStr">
        <is>
          <t>Scanning works offline (on-device)</t>
        </is>
      </c>
      <c r="D64" s="2" t="inlineStr">
        <is>
          <t>Medium</t>
        </is>
      </c>
      <c r="E64" s="2" t="inlineStr">
        <is>
          <t>Real iPhone (Apple Intelligence)</t>
        </is>
      </c>
      <c r="F64" s="2" t="inlineStr">
        <is>
          <t>Airplane mode ON.</t>
        </is>
      </c>
      <c r="G64" s="2" t="inlineStr">
        <is>
          <t>-</t>
        </is>
      </c>
      <c r="H64" s="2" t="inlineStr">
        <is>
          <t>1. Scan a receipt from the library.</t>
        </is>
      </c>
      <c r="I64" s="2" t="inlineStr">
        <is>
          <t>Items are still detected (the receipt is processed on the phone).</t>
        </is>
      </c>
      <c r="J64" s="3" t="inlineStr"/>
      <c r="K64" s="3" t="inlineStr">
        <is>
          <t>Not Run</t>
        </is>
      </c>
      <c r="L64" s="3" t="inlineStr"/>
      <c r="M64" s="4" t="inlineStr"/>
      <c r="N64" s="3" t="inlineStr"/>
    </row>
    <row r="65">
      <c r="A65" s="2" t="inlineStr">
        <is>
          <t>TC-NF-01</t>
        </is>
      </c>
      <c r="B65" s="2" t="inlineStr">
        <is>
          <t>Usability / Accessibility</t>
        </is>
      </c>
      <c r="C65" s="2" t="inlineStr">
        <is>
          <t>Dark mode</t>
        </is>
      </c>
      <c r="D65" s="2" t="inlineStr">
        <is>
          <t>Low</t>
        </is>
      </c>
      <c r="E65" s="2" t="inlineStr">
        <is>
          <t>Simulator or iPhone</t>
        </is>
      </c>
      <c r="F65" s="2" t="inlineStr">
        <is>
          <t>Settings &gt; Display &gt; Dark.</t>
        </is>
      </c>
      <c r="G65" s="2" t="inlineStr">
        <is>
          <t>-</t>
        </is>
      </c>
      <c r="H65" s="2" t="inlineStr">
        <is>
          <t>1. Go through Pantry, Recipes, recipe detail, Profile.</t>
        </is>
      </c>
      <c r="I65" s="2" t="inlineStr">
        <is>
          <t>All text and icons are readable, nothing invisible or clashing.</t>
        </is>
      </c>
      <c r="J65" s="3" t="inlineStr"/>
      <c r="K65" s="3" t="inlineStr">
        <is>
          <t>Not Run</t>
        </is>
      </c>
      <c r="L65" s="3" t="inlineStr"/>
      <c r="M65" s="4" t="inlineStr"/>
      <c r="N65" s="3" t="inlineStr"/>
    </row>
    <row r="66">
      <c r="A66" s="2" t="inlineStr">
        <is>
          <t>TC-NF-02</t>
        </is>
      </c>
      <c r="B66" s="2" t="inlineStr">
        <is>
          <t>Usability / Accessibility</t>
        </is>
      </c>
      <c r="C66" s="2" t="inlineStr">
        <is>
          <t>Largest text size</t>
        </is>
      </c>
      <c r="D66" s="2" t="inlineStr">
        <is>
          <t>Low</t>
        </is>
      </c>
      <c r="E66" s="2" t="inlineStr">
        <is>
          <t>Simulator or iPhone</t>
        </is>
      </c>
      <c r="F66" s="2" t="inlineStr">
        <is>
          <t>Settings &gt; Accessibility &gt; Larger Text at max.</t>
        </is>
      </c>
      <c r="G66" s="2" t="inlineStr">
        <is>
          <t>-</t>
        </is>
      </c>
      <c r="H66" s="2" t="inlineStr">
        <is>
          <t>1. Go through the main screens.</t>
        </is>
      </c>
      <c r="I66" s="2" t="inlineStr">
        <is>
          <t>Text wraps instead of being cut off; buttons are still usable.</t>
        </is>
      </c>
      <c r="J66" s="3" t="inlineStr"/>
      <c r="K66" s="3" t="inlineStr">
        <is>
          <t>Not Run</t>
        </is>
      </c>
      <c r="L66" s="3" t="inlineStr"/>
      <c r="M66" s="4" t="inlineStr"/>
      <c r="N66" s="3" t="inlineStr"/>
    </row>
    <row r="67">
      <c r="A67" s="2" t="inlineStr">
        <is>
          <t>TC-NF-03</t>
        </is>
      </c>
      <c r="B67" s="2" t="inlineStr">
        <is>
          <t>Usability / Accessibility</t>
        </is>
      </c>
      <c r="C67" s="2" t="inlineStr">
        <is>
          <t>VoiceOver on the pantry</t>
        </is>
      </c>
      <c r="D67" s="2" t="inlineStr">
        <is>
          <t>Low</t>
        </is>
      </c>
      <c r="E67" s="2" t="inlineStr">
        <is>
          <t>Real iPhone</t>
        </is>
      </c>
      <c r="F67" s="2" t="inlineStr">
        <is>
          <t>VoiceOver ON. Pantry has Milk 500 ml.</t>
        </is>
      </c>
      <c r="G67" s="2" t="inlineStr">
        <is>
          <t>-</t>
        </is>
      </c>
      <c r="H67" s="2" t="inlineStr">
        <is>
          <t>1. Swipe to the Milk row.</t>
        </is>
      </c>
      <c r="I67" s="2" t="inlineStr">
        <is>
          <t>VoiceOver reads something like "Milk, Dairy, 500 ml" and the hint to update quantity.</t>
        </is>
      </c>
      <c r="J67" s="3" t="inlineStr"/>
      <c r="K67" s="3" t="inlineStr">
        <is>
          <t>Not Run</t>
        </is>
      </c>
      <c r="L67" s="3" t="inlineStr"/>
      <c r="M67" s="4" t="inlineStr"/>
      <c r="N67" s="3" t="inlineStr"/>
    </row>
    <row r="68">
      <c r="A68" s="2" t="inlineStr">
        <is>
          <t>TC-NF-04</t>
        </is>
      </c>
      <c r="B68" s="2" t="inlineStr">
        <is>
          <t>Usability / Accessibility</t>
        </is>
      </c>
      <c r="C68" s="2" t="inlineStr">
        <is>
          <t>Landscape orientation</t>
        </is>
      </c>
      <c r="D68" s="2" t="inlineStr">
        <is>
          <t>Low</t>
        </is>
      </c>
      <c r="E68" s="2" t="inlineStr">
        <is>
          <t>Simulator or iPhone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1. Rotate to landscape on Pantry, Recipes and the add sheet.</t>
        </is>
      </c>
      <c r="I68" s="2" t="inlineStr">
        <is>
          <t>Layout adjusts, nothing overlaps or gets stuck.</t>
        </is>
      </c>
      <c r="J68" s="3" t="inlineStr"/>
      <c r="K68" s="3" t="inlineStr">
        <is>
          <t>Not Run</t>
        </is>
      </c>
      <c r="L68" s="3" t="inlineStr"/>
      <c r="M68" s="4" t="inlineStr"/>
      <c r="N68" s="3" t="inlineStr"/>
    </row>
    <row r="69">
      <c r="A69" s="2" t="inlineStr">
        <is>
          <t>TC-NF-05</t>
        </is>
      </c>
      <c r="B69" s="2" t="inlineStr">
        <is>
          <t>Reliability</t>
        </is>
      </c>
      <c r="C69" s="2" t="inlineStr">
        <is>
          <t>Use the pantry with no internet</t>
        </is>
      </c>
      <c r="D69" s="2" t="inlineStr">
        <is>
          <t>Medium</t>
        </is>
      </c>
      <c r="E69" s="2" t="inlineStr">
        <is>
          <t>Real iPhone</t>
        </is>
      </c>
      <c r="F69" s="2" t="inlineStr">
        <is>
          <t>Signed in. Airplane mode ON.</t>
        </is>
      </c>
      <c r="G69" s="2" t="inlineStr">
        <is>
          <t>Add "Onion"</t>
        </is>
      </c>
      <c r="H69" s="2" t="inlineStr">
        <is>
          <t>1. Try to add Onion.
2. Turn airplane mode off and wait.</t>
        </is>
      </c>
      <c r="I69" s="2" t="inlineStr">
        <is>
          <t>App doesn't crash or freeze forever. Once back online, Onion is in the pantry (or a clear error was shown).</t>
        </is>
      </c>
      <c r="J69" s="3" t="inlineStr"/>
      <c r="K69" s="3" t="inlineStr">
        <is>
          <t>Not Run</t>
        </is>
      </c>
      <c r="L69" s="3" t="inlineStr"/>
      <c r="M69" s="4" t="inlineStr"/>
      <c r="N69" s="3" t="inlineStr"/>
    </row>
  </sheetData>
  <autoFilter ref="A1:N69"/>
  <conditionalFormatting sqref="K2:K6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D2:D69">
    <cfRule type="cellIs" priority="4" operator="equal" dxfId="3">
      <formula>"High"</formula>
    </cfRule>
    <cfRule type="cellIs" priority="5" operator="equal" dxfId="4">
      <formula>"Medium"</formula>
    </cfRule>
    <cfRule type="cellIs" priority="6" operator="equal" dxfId="5">
      <formula>"Low"</formula>
    </cfRule>
  </conditionalFormatting>
  <dataValidations count="2">
    <dataValidation sqref="K2:K69" showDropDown="0" showInputMessage="0" showErrorMessage="0" allowBlank="0" type="list">
      <formula1>"Pass,Fail,Blocked,Not Run"</formula1>
    </dataValidation>
    <dataValidation sqref="D2:D69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FridgeFit - Manual Test Cases</t>
        </is>
      </c>
    </row>
    <row r="2">
      <c r="A2" s="6" t="inlineStr"/>
    </row>
    <row r="3">
      <c r="A3" s="7" t="inlineStr">
        <is>
          <t>What this is</t>
        </is>
      </c>
    </row>
    <row r="4">
      <c r="A4" s="6" t="inlineStr">
        <is>
          <t>Manual test cases for things the automated tests can't cover: real Firebase login, real device features (camera, Apple Intelligence), OpenRouter, and general usability.</t>
        </is>
      </c>
    </row>
    <row r="5">
      <c r="A5" s="6" t="inlineStr"/>
    </row>
    <row r="6">
      <c r="A6" s="7" t="inlineStr">
        <is>
          <t>How to use it</t>
        </is>
      </c>
    </row>
    <row r="7">
      <c r="A7" s="6" t="inlineStr">
        <is>
          <t>1. Go through the 'Test Cases' sheet. Follow Preconditions, Test Data and Steps for each row.</t>
        </is>
      </c>
    </row>
    <row r="8">
      <c r="A8" s="6" t="inlineStr">
        <is>
          <t>2. Fill in only the yellow columns: Actual Result, Status, Tester, Date Tested, Notes / Bug ID.</t>
        </is>
      </c>
    </row>
    <row r="9">
      <c r="A9" s="6" t="inlineStr">
        <is>
          <t>3. Status is a dropdown: Pass / Fail / Blocked / Not Run. Use Blocked when you can't run it (e.g. no Apple Intelligence device).</t>
        </is>
      </c>
    </row>
    <row r="10">
      <c r="A10" s="6" t="inlineStr">
        <is>
          <t>4. If something fails, add a row to 'Bug Log' and put its Bug ID in the Notes / Bug ID column.</t>
        </is>
      </c>
    </row>
    <row r="11">
      <c r="A11" s="6" t="inlineStr">
        <is>
          <t>5. 'Summary' updates by itself from the Status column.</t>
        </is>
      </c>
    </row>
    <row r="12">
      <c r="A12" s="6" t="inlineStr"/>
    </row>
    <row r="13">
      <c r="A13" s="7" t="inlineStr">
        <is>
          <t>Environment column</t>
        </is>
      </c>
    </row>
    <row r="14">
      <c r="A14" s="6" t="inlineStr">
        <is>
          <t>Simulator: any iOS 26 simulator is fine.</t>
        </is>
      </c>
    </row>
    <row r="15">
      <c r="A15" s="6" t="inlineStr">
        <is>
          <t>Real iPhone: needs a device (set your team in Secrets.xcconfig, see README).</t>
        </is>
      </c>
    </row>
    <row r="16">
      <c r="A16" s="6" t="inlineStr">
        <is>
          <t>Real iPhone (Apple Intelligence): iPhone 15 Pro or newer with Apple Intelligence turned on and downloaded.</t>
        </is>
      </c>
    </row>
    <row r="17">
      <c r="A17" s="6" t="inlineStr"/>
    </row>
    <row r="18">
      <c r="A18" s="7" t="inlineStr">
        <is>
          <t>Test accounts</t>
        </is>
      </c>
    </row>
    <row r="19">
      <c r="A19" s="6" t="inlineStr">
        <is>
          <t>Use throwaway emails like fridgefit.test1@example.com. Don't use your real password.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6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</cols>
  <sheetData>
    <row r="1">
      <c r="A1" s="8" t="inlineStr">
        <is>
          <t>Test Run Summary</t>
        </is>
      </c>
    </row>
    <row r="3">
      <c r="A3" s="9" t="inlineStr">
        <is>
          <t>Status</t>
        </is>
      </c>
      <c r="B3" s="9" t="inlineStr">
        <is>
          <t>Count</t>
        </is>
      </c>
      <c r="D3" s="9" t="inlineStr">
        <is>
          <t>Module</t>
        </is>
      </c>
      <c r="E3" s="9" t="inlineStr">
        <is>
          <t>Total</t>
        </is>
      </c>
      <c r="F3" s="9" t="inlineStr">
        <is>
          <t>Pass</t>
        </is>
      </c>
      <c r="G3" s="9" t="inlineStr">
        <is>
          <t>Fail</t>
        </is>
      </c>
      <c r="H3" s="9" t="inlineStr">
        <is>
          <t>Blocked</t>
        </is>
      </c>
      <c r="I3" s="9" t="inlineStr">
        <is>
          <t>Not Run</t>
        </is>
      </c>
    </row>
    <row r="4">
      <c r="A4" s="10" t="inlineStr">
        <is>
          <t>Pass</t>
        </is>
      </c>
      <c r="B4" s="10">
        <f>COUNTIF('Test Cases'!$K$2:$K$69,A4)</f>
        <v/>
      </c>
      <c r="D4" s="10" t="inlineStr">
        <is>
          <t>Authentication</t>
        </is>
      </c>
      <c r="E4" s="10">
        <f>COUNTIF('Test Cases'!$B$2:$B$69,D4)</f>
        <v/>
      </c>
      <c r="F4" s="10">
        <f>COUNTIFS('Test Cases'!$B$2:$B$69,$D4,'Test Cases'!$K$2:$K$69,"Pass")</f>
        <v/>
      </c>
      <c r="G4" s="10">
        <f>COUNTIFS('Test Cases'!$B$2:$B$69,$D4,'Test Cases'!$K$2:$K$69,"Fail")</f>
        <v/>
      </c>
      <c r="H4" s="10">
        <f>COUNTIFS('Test Cases'!$B$2:$B$69,$D4,'Test Cases'!$K$2:$K$69,"Blocked")</f>
        <v/>
      </c>
      <c r="I4" s="10">
        <f>COUNTIFS('Test Cases'!$B$2:$B$69,$D4,'Test Cases'!$K$2:$K$69,"Not Run")</f>
        <v/>
      </c>
    </row>
    <row r="5">
      <c r="A5" s="10" t="inlineStr">
        <is>
          <t>Fail</t>
        </is>
      </c>
      <c r="B5" s="10">
        <f>COUNTIF('Test Cases'!$K$2:$K$69,A5)</f>
        <v/>
      </c>
      <c r="D5" s="10" t="inlineStr">
        <is>
          <t>Profile</t>
        </is>
      </c>
      <c r="E5" s="10">
        <f>COUNTIF('Test Cases'!$B$2:$B$69,D5)</f>
        <v/>
      </c>
      <c r="F5" s="10">
        <f>COUNTIFS('Test Cases'!$B$2:$B$69,$D5,'Test Cases'!$K$2:$K$69,"Pass")</f>
        <v/>
      </c>
      <c r="G5" s="10">
        <f>COUNTIFS('Test Cases'!$B$2:$B$69,$D5,'Test Cases'!$K$2:$K$69,"Fail")</f>
        <v/>
      </c>
      <c r="H5" s="10">
        <f>COUNTIFS('Test Cases'!$B$2:$B$69,$D5,'Test Cases'!$K$2:$K$69,"Blocked")</f>
        <v/>
      </c>
      <c r="I5" s="10">
        <f>COUNTIFS('Test Cases'!$B$2:$B$69,$D5,'Test Cases'!$K$2:$K$69,"Not Run")</f>
        <v/>
      </c>
    </row>
    <row r="6">
      <c r="A6" s="10" t="inlineStr">
        <is>
          <t>Blocked</t>
        </is>
      </c>
      <c r="B6" s="10">
        <f>COUNTIF('Test Cases'!$K$2:$K$69,A6)</f>
        <v/>
      </c>
      <c r="D6" s="10" t="inlineStr">
        <is>
          <t>Pantry</t>
        </is>
      </c>
      <c r="E6" s="10">
        <f>COUNTIF('Test Cases'!$B$2:$B$69,D6)</f>
        <v/>
      </c>
      <c r="F6" s="10">
        <f>COUNTIFS('Test Cases'!$B$2:$B$69,$D6,'Test Cases'!$K$2:$K$69,"Pass")</f>
        <v/>
      </c>
      <c r="G6" s="10">
        <f>COUNTIFS('Test Cases'!$B$2:$B$69,$D6,'Test Cases'!$K$2:$K$69,"Fail")</f>
        <v/>
      </c>
      <c r="H6" s="10">
        <f>COUNTIFS('Test Cases'!$B$2:$B$69,$D6,'Test Cases'!$K$2:$K$69,"Blocked")</f>
        <v/>
      </c>
      <c r="I6" s="10">
        <f>COUNTIFS('Test Cases'!$B$2:$B$69,$D6,'Test Cases'!$K$2:$K$69,"Not Run")</f>
        <v/>
      </c>
    </row>
    <row r="7">
      <c r="A7" s="10" t="inlineStr">
        <is>
          <t>Not Run</t>
        </is>
      </c>
      <c r="B7" s="10">
        <f>COUNTIF('Test Cases'!$K$2:$K$69,A7)</f>
        <v/>
      </c>
      <c r="D7" s="10" t="inlineStr">
        <is>
          <t>Recipes</t>
        </is>
      </c>
      <c r="E7" s="10">
        <f>COUNTIF('Test Cases'!$B$2:$B$69,D7)</f>
        <v/>
      </c>
      <c r="F7" s="10">
        <f>COUNTIFS('Test Cases'!$B$2:$B$69,$D7,'Test Cases'!$K$2:$K$69,"Pass")</f>
        <v/>
      </c>
      <c r="G7" s="10">
        <f>COUNTIFS('Test Cases'!$B$2:$B$69,$D7,'Test Cases'!$K$2:$K$69,"Fail")</f>
        <v/>
      </c>
      <c r="H7" s="10">
        <f>COUNTIFS('Test Cases'!$B$2:$B$69,$D7,'Test Cases'!$K$2:$K$69,"Blocked")</f>
        <v/>
      </c>
      <c r="I7" s="10">
        <f>COUNTIFS('Test Cases'!$B$2:$B$69,$D7,'Test Cases'!$K$2:$K$69,"Not Run")</f>
        <v/>
      </c>
    </row>
    <row r="8">
      <c r="A8" s="11" t="inlineStr">
        <is>
          <t>Total</t>
        </is>
      </c>
      <c r="B8" s="10">
        <f>SUM(B4:B7)</f>
        <v/>
      </c>
      <c r="D8" s="10" t="inlineStr">
        <is>
          <t>Substitution</t>
        </is>
      </c>
      <c r="E8" s="10">
        <f>COUNTIF('Test Cases'!$B$2:$B$69,D8)</f>
        <v/>
      </c>
      <c r="F8" s="10">
        <f>COUNTIFS('Test Cases'!$B$2:$B$69,$D8,'Test Cases'!$K$2:$K$69,"Pass")</f>
        <v/>
      </c>
      <c r="G8" s="10">
        <f>COUNTIFS('Test Cases'!$B$2:$B$69,$D8,'Test Cases'!$K$2:$K$69,"Fail")</f>
        <v/>
      </c>
      <c r="H8" s="10">
        <f>COUNTIFS('Test Cases'!$B$2:$B$69,$D8,'Test Cases'!$K$2:$K$69,"Blocked")</f>
        <v/>
      </c>
      <c r="I8" s="10">
        <f>COUNTIFS('Test Cases'!$B$2:$B$69,$D8,'Test Cases'!$K$2:$K$69,"Not Run")</f>
        <v/>
      </c>
    </row>
    <row r="9">
      <c r="A9" s="10" t="inlineStr">
        <is>
          <t>Executed (Pass + Fail)</t>
        </is>
      </c>
      <c r="B9" s="10">
        <f>B4+B5</f>
        <v/>
      </c>
      <c r="D9" s="10" t="inlineStr">
        <is>
          <t>Pantry Ideas (AI)</t>
        </is>
      </c>
      <c r="E9" s="10">
        <f>COUNTIF('Test Cases'!$B$2:$B$69,D9)</f>
        <v/>
      </c>
      <c r="F9" s="10">
        <f>COUNTIFS('Test Cases'!$B$2:$B$69,$D9,'Test Cases'!$K$2:$K$69,"Pass")</f>
        <v/>
      </c>
      <c r="G9" s="10">
        <f>COUNTIFS('Test Cases'!$B$2:$B$69,$D9,'Test Cases'!$K$2:$K$69,"Fail")</f>
        <v/>
      </c>
      <c r="H9" s="10">
        <f>COUNTIFS('Test Cases'!$B$2:$B$69,$D9,'Test Cases'!$K$2:$K$69,"Blocked")</f>
        <v/>
      </c>
      <c r="I9" s="10">
        <f>COUNTIFS('Test Cases'!$B$2:$B$69,$D9,'Test Cases'!$K$2:$K$69,"Not Run")</f>
        <v/>
      </c>
    </row>
    <row r="10">
      <c r="A10" s="11" t="inlineStr">
        <is>
          <t>Pass rate (of executed)</t>
        </is>
      </c>
      <c r="B10" s="12">
        <f>IF(B9=0,0,B4/B9)</f>
        <v/>
      </c>
      <c r="D10" s="10" t="inlineStr">
        <is>
          <t>Receipt Scan</t>
        </is>
      </c>
      <c r="E10" s="10">
        <f>COUNTIF('Test Cases'!$B$2:$B$69,D10)</f>
        <v/>
      </c>
      <c r="F10" s="10">
        <f>COUNTIFS('Test Cases'!$B$2:$B$69,$D10,'Test Cases'!$K$2:$K$69,"Pass")</f>
        <v/>
      </c>
      <c r="G10" s="10">
        <f>COUNTIFS('Test Cases'!$B$2:$B$69,$D10,'Test Cases'!$K$2:$K$69,"Fail")</f>
        <v/>
      </c>
      <c r="H10" s="10">
        <f>COUNTIFS('Test Cases'!$B$2:$B$69,$D10,'Test Cases'!$K$2:$K$69,"Blocked")</f>
        <v/>
      </c>
      <c r="I10" s="10">
        <f>COUNTIFS('Test Cases'!$B$2:$B$69,$D10,'Test Cases'!$K$2:$K$69,"Not Run")</f>
        <v/>
      </c>
    </row>
    <row r="11">
      <c r="A11" s="10" t="inlineStr">
        <is>
          <t>Progress (run incl. Blocked / total)</t>
        </is>
      </c>
      <c r="B11" s="12">
        <f>IF(B8=0,0,(B4+B5+B6)/B8)</f>
        <v/>
      </c>
      <c r="D11" s="10" t="inlineStr">
        <is>
          <t>Usability / Accessibility</t>
        </is>
      </c>
      <c r="E11" s="10">
        <f>COUNTIF('Test Cases'!$B$2:$B$69,D11)</f>
        <v/>
      </c>
      <c r="F11" s="10">
        <f>COUNTIFS('Test Cases'!$B$2:$B$69,$D11,'Test Cases'!$K$2:$K$69,"Pass")</f>
        <v/>
      </c>
      <c r="G11" s="10">
        <f>COUNTIFS('Test Cases'!$B$2:$B$69,$D11,'Test Cases'!$K$2:$K$69,"Fail")</f>
        <v/>
      </c>
      <c r="H11" s="10">
        <f>COUNTIFS('Test Cases'!$B$2:$B$69,$D11,'Test Cases'!$K$2:$K$69,"Blocked")</f>
        <v/>
      </c>
      <c r="I11" s="10">
        <f>COUNTIFS('Test Cases'!$B$2:$B$69,$D11,'Test Cases'!$K$2:$K$69,"Not Run")</f>
        <v/>
      </c>
    </row>
    <row r="12">
      <c r="D12" s="10" t="inlineStr">
        <is>
          <t>Reliability</t>
        </is>
      </c>
      <c r="E12" s="10">
        <f>COUNTIF('Test Cases'!$B$2:$B$69,D12)</f>
        <v/>
      </c>
      <c r="F12" s="10">
        <f>COUNTIFS('Test Cases'!$B$2:$B$69,$D12,'Test Cases'!$K$2:$K$69,"Pass")</f>
        <v/>
      </c>
      <c r="G12" s="10">
        <f>COUNTIFS('Test Cases'!$B$2:$B$69,$D12,'Test Cases'!$K$2:$K$69,"Fail")</f>
        <v/>
      </c>
      <c r="H12" s="10">
        <f>COUNTIFS('Test Cases'!$B$2:$B$69,$D12,'Test Cases'!$K$2:$K$69,"Blocked")</f>
        <v/>
      </c>
      <c r="I12" s="10">
        <f>COUNTIFS('Test Cases'!$B$2:$B$69,$D12,'Test Cases'!$K$2:$K$69,"Not Run")</f>
        <v/>
      </c>
    </row>
    <row r="13">
      <c r="D13" s="11" t="inlineStr">
        <is>
          <t>Total</t>
        </is>
      </c>
      <c r="E13" s="10">
        <f>SUM(E4:E12)</f>
        <v/>
      </c>
      <c r="F13" s="10">
        <f>SUM(F4:F12)</f>
        <v/>
      </c>
      <c r="G13" s="10">
        <f>SUM(G4:G12)</f>
        <v/>
      </c>
      <c r="H13" s="10">
        <f>SUM(H4:H12)</f>
        <v/>
      </c>
      <c r="I13" s="10">
        <f>SUM(I4:I12)</f>
        <v/>
      </c>
    </row>
    <row r="14">
      <c r="A14" s="9" t="inlineStr">
        <is>
          <t>Priority</t>
        </is>
      </c>
      <c r="B14" s="9" t="inlineStr">
        <is>
          <t>Total</t>
        </is>
      </c>
      <c r="C14" s="9" t="inlineStr">
        <is>
          <t>Failed</t>
        </is>
      </c>
    </row>
    <row r="15">
      <c r="A15" s="10" t="inlineStr">
        <is>
          <t>High</t>
        </is>
      </c>
      <c r="B15" s="10">
        <f>COUNTIF('Test Cases'!$D$2:$D$69,A15)</f>
        <v/>
      </c>
      <c r="C15" s="10">
        <f>COUNTIFS('Test Cases'!$D$2:$D$69,A15,'Test Cases'!$K$2:$K$69,"Fail")</f>
        <v/>
      </c>
    </row>
    <row r="16">
      <c r="A16" s="10" t="inlineStr">
        <is>
          <t>Medium</t>
        </is>
      </c>
      <c r="B16" s="10">
        <f>COUNTIF('Test Cases'!$D$2:$D$69,A16)</f>
        <v/>
      </c>
      <c r="C16" s="10">
        <f>COUNTIFS('Test Cases'!$D$2:$D$69,A16,'Test Cases'!$K$2:$K$69,"Fail")</f>
        <v/>
      </c>
    </row>
    <row r="17">
      <c r="A17" s="10" t="inlineStr">
        <is>
          <t>Low</t>
        </is>
      </c>
      <c r="B17" s="10">
        <f>COUNTIF('Test Cases'!$D$2:$D$69,A17)</f>
        <v/>
      </c>
      <c r="C17" s="10">
        <f>COUNTIFS('Test Cases'!$D$2:$D$69,A17,'Test Cases'!$K$2:$K$69,"Fail")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8" customWidth="1" min="5" max="5"/>
    <col width="44" customWidth="1" min="6" max="6"/>
    <col width="30" customWidth="1" min="7" max="7"/>
    <col width="3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Bug ID</t>
        </is>
      </c>
      <c r="B1" s="1" t="inlineStr">
        <is>
          <t>Related Test ID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Environment</t>
        </is>
      </c>
      <c r="F1" s="1" t="inlineStr">
        <is>
          <t>Steps to Reproduce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Found By</t>
        </is>
      </c>
      <c r="K1" s="1" t="inlineStr">
        <is>
          <t>Date Found</t>
        </is>
      </c>
    </row>
    <row r="2">
      <c r="A2" s="2" t="inlineStr">
        <is>
          <t>BUG-001</t>
        </is>
      </c>
      <c r="B2" s="2" t="inlineStr">
        <is>
          <t>TC-PAN-08</t>
        </is>
      </c>
      <c r="C2" s="2" t="inlineStr">
        <is>
          <t>Tapping the empty middle of a pantry row does nothing</t>
        </is>
      </c>
      <c r="D2" s="2" t="inlineStr">
        <is>
          <t>Low</t>
        </is>
      </c>
      <c r="E2" s="2" t="inlineStr">
        <is>
          <t>Simulator (iPhone 17 Pro, iOS 26.2)</t>
        </is>
      </c>
      <c r="F2" s="2" t="inlineStr">
        <is>
          <t>1. Have at least one pantry item.
2. Tap the blank space between the item name and the quantity.</t>
        </is>
      </c>
      <c r="G2" s="2" t="inlineStr">
        <is>
          <t>Update Quantity sheet opens.</t>
        </is>
      </c>
      <c r="H2" s="2" t="inlineStr">
        <is>
          <t>Nothing happens. Only tapping the text/icon works. Found by the UI test (plain button + Spacer has no contentShape).</t>
        </is>
      </c>
      <c r="I2" s="2" t="inlineStr">
        <is>
          <t>Fixed</t>
        </is>
      </c>
      <c r="J2" s="2" t="inlineStr"/>
      <c r="K2" s="2" t="inlineStr"/>
    </row>
    <row r="4">
      <c r="A4" s="13" t="inlineStr">
        <is>
          <t>Row 2 is a real example (found while writing the UI tests). Add new bugs below it.</t>
        </is>
      </c>
    </row>
  </sheetData>
  <dataValidations count="2">
    <dataValidation sqref="D2:D200" showDropDown="0" showInputMessage="0" showErrorMessage="0" allowBlank="1" type="list">
      <formula1>"Critical,High,Medium,Low"</formula1>
    </dataValidation>
    <dataValidation sqref="I2:I200" showDropDown="0" showInputMessage="0" showErrorMessage="0" allowBlank="1" type="list">
      <formula1>"Open,In Progress,Fixed,Won't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2026-10-14T10:11:25Z</dcterms:created>
  <dcterms:modified xsi:type="dcterms:W3CDTF">2026-10-14T10:11:25Z</dcterms:modified>
</cp:coreProperties>
</file>